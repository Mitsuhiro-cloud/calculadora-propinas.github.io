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Tienda\Documents\GESTIONES años pasados\QUIQUE\FORMATOS\"/>
    </mc:Choice>
  </mc:AlternateContent>
  <xr:revisionPtr revIDLastSave="0" documentId="13_ncr:1_{1DEB9AB9-B5E4-43F3-8352-CCDA4714EF47}" xr6:coauthVersionLast="47" xr6:coauthVersionMax="47" xr10:uidLastSave="{00000000-0000-0000-0000-000000000000}"/>
  <bookViews>
    <workbookView xWindow="-120" yWindow="-120" windowWidth="20730" windowHeight="11160" tabRatio="763" xr2:uid="{00000000-000D-0000-FFFF-FFFF00000000}"/>
  </bookViews>
  <sheets>
    <sheet name="Semana 1" sheetId="1" r:id="rId1"/>
    <sheet name="Semana 2" sheetId="2" r:id="rId2"/>
    <sheet name="Semana 3" sheetId="3" r:id="rId3"/>
    <sheet name="Semana 4" sheetId="4" r:id="rId4"/>
    <sheet name="Semana 5" sheetId="5" r:id="rId5"/>
    <sheet name="Semana 6" sheetId="6" r:id="rId6"/>
    <sheet name="Semana 7" sheetId="7" r:id="rId7"/>
    <sheet name="Semana 8" sheetId="8" r:id="rId8"/>
    <sheet name="Semana 9" sheetId="9" r:id="rId9"/>
    <sheet name="Semana 10" sheetId="10" r:id="rId10"/>
    <sheet name="Semana 11" sheetId="11" r:id="rId11"/>
    <sheet name="Semana 12" sheetId="12" r:id="rId12"/>
    <sheet name="Semana 13" sheetId="13" r:id="rId13"/>
    <sheet name="Semana 14" sheetId="14" r:id="rId14"/>
    <sheet name="Semana 15" sheetId="15" r:id="rId15"/>
    <sheet name="Semana 16" sheetId="16" r:id="rId16"/>
    <sheet name="Semana 17" sheetId="17" r:id="rId17"/>
    <sheet name="Semana 18" sheetId="18" r:id="rId18"/>
    <sheet name="Semana 19" sheetId="19" r:id="rId19"/>
    <sheet name="Semana 20" sheetId="20" r:id="rId20"/>
    <sheet name="Semana 21" sheetId="21" r:id="rId21"/>
    <sheet name="Semana 22" sheetId="22" r:id="rId22"/>
    <sheet name="Semana 23" sheetId="23" r:id="rId23"/>
    <sheet name="Semana 24" sheetId="24" r:id="rId24"/>
    <sheet name="Semana 25" sheetId="25" r:id="rId25"/>
    <sheet name="Semana 26" sheetId="26" r:id="rId26"/>
    <sheet name="Semana 27" sheetId="27" r:id="rId27"/>
    <sheet name="Semana 28" sheetId="28" r:id="rId28"/>
    <sheet name="Semana 29" sheetId="29" r:id="rId29"/>
    <sheet name="Semana 30" sheetId="30" r:id="rId30"/>
    <sheet name="Semana 31" sheetId="31" r:id="rId31"/>
    <sheet name="Semana 32" sheetId="32" r:id="rId32"/>
    <sheet name="Semana 33" sheetId="33" r:id="rId33"/>
    <sheet name="Semana 34" sheetId="34" r:id="rId34"/>
    <sheet name="Semana 35" sheetId="35" r:id="rId35"/>
    <sheet name="Semana 36" sheetId="36" r:id="rId36"/>
    <sheet name="Semana 37" sheetId="37" r:id="rId37"/>
    <sheet name="Semana 38" sheetId="38" r:id="rId38"/>
    <sheet name="Semana 39" sheetId="39" r:id="rId39"/>
    <sheet name="Semana 40" sheetId="40" r:id="rId40"/>
    <sheet name="Semana 41" sheetId="41" r:id="rId41"/>
    <sheet name="Semana 42" sheetId="42" r:id="rId42"/>
    <sheet name="Semana 43" sheetId="43" r:id="rId43"/>
    <sheet name="Semana 44" sheetId="44" r:id="rId44"/>
    <sheet name="Semana 45" sheetId="45" r:id="rId45"/>
    <sheet name="Semana 46" sheetId="46" r:id="rId46"/>
    <sheet name="Semana 47" sheetId="47" r:id="rId47"/>
    <sheet name="Semana 48" sheetId="48" r:id="rId48"/>
    <sheet name="Semana 49" sheetId="49" r:id="rId49"/>
    <sheet name="Semana 50" sheetId="50" r:id="rId50"/>
    <sheet name="Semana 51" sheetId="51" r:id="rId51"/>
    <sheet name="Semana 52" sheetId="52" r:id="rId5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7" i="1" l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C59" i="1"/>
  <c r="B60" i="1"/>
  <c r="C60" i="1" s="1"/>
  <c r="B61" i="1"/>
  <c r="C61" i="1" s="1"/>
  <c r="B46" i="1"/>
  <c r="C46" i="1" s="1"/>
  <c r="D61" i="1"/>
  <c r="O41" i="1" s="1"/>
  <c r="F55" i="52"/>
  <c r="D55" i="52"/>
  <c r="B55" i="52"/>
  <c r="C55" i="52" s="1"/>
  <c r="E55" i="52" s="1"/>
  <c r="J55" i="52" s="1"/>
  <c r="F54" i="52"/>
  <c r="D54" i="52"/>
  <c r="B54" i="52"/>
  <c r="C54" i="52" s="1"/>
  <c r="E54" i="52" s="1"/>
  <c r="J54" i="52" s="1"/>
  <c r="F53" i="52"/>
  <c r="D53" i="52"/>
  <c r="B53" i="52"/>
  <c r="C53" i="52" s="1"/>
  <c r="E53" i="52" s="1"/>
  <c r="J53" i="52" s="1"/>
  <c r="F52" i="52"/>
  <c r="D52" i="52"/>
  <c r="B52" i="52"/>
  <c r="C52" i="52" s="1"/>
  <c r="E52" i="52" s="1"/>
  <c r="J52" i="52" s="1"/>
  <c r="F51" i="52"/>
  <c r="D51" i="52"/>
  <c r="B51" i="52"/>
  <c r="C51" i="52" s="1"/>
  <c r="E51" i="52" s="1"/>
  <c r="J51" i="52" s="1"/>
  <c r="F50" i="52"/>
  <c r="D50" i="52"/>
  <c r="B50" i="52"/>
  <c r="C50" i="52" s="1"/>
  <c r="E50" i="52" s="1"/>
  <c r="J50" i="52" s="1"/>
  <c r="F49" i="52"/>
  <c r="D49" i="52"/>
  <c r="B49" i="52"/>
  <c r="C49" i="52" s="1"/>
  <c r="E49" i="52" s="1"/>
  <c r="J49" i="52" s="1"/>
  <c r="F48" i="52"/>
  <c r="D48" i="52"/>
  <c r="B48" i="52"/>
  <c r="C48" i="52" s="1"/>
  <c r="E48" i="52" s="1"/>
  <c r="J48" i="52" s="1"/>
  <c r="F47" i="52"/>
  <c r="D47" i="52"/>
  <c r="B47" i="52"/>
  <c r="C47" i="52" s="1"/>
  <c r="E47" i="52" s="1"/>
  <c r="J47" i="52" s="1"/>
  <c r="F46" i="52"/>
  <c r="D46" i="52"/>
  <c r="B46" i="52"/>
  <c r="C46" i="52" s="1"/>
  <c r="E46" i="52" s="1"/>
  <c r="J46" i="52" s="1"/>
  <c r="F45" i="52"/>
  <c r="D45" i="52"/>
  <c r="B45" i="52"/>
  <c r="C45" i="52" s="1"/>
  <c r="E45" i="52" s="1"/>
  <c r="J45" i="52" s="1"/>
  <c r="F44" i="52"/>
  <c r="D44" i="52"/>
  <c r="B44" i="52"/>
  <c r="C44" i="52" s="1"/>
  <c r="E44" i="52" s="1"/>
  <c r="J44" i="52" s="1"/>
  <c r="F43" i="52"/>
  <c r="D43" i="52"/>
  <c r="B43" i="52"/>
  <c r="C43" i="52" s="1"/>
  <c r="E43" i="52" s="1"/>
  <c r="J43" i="52" s="1"/>
  <c r="F42" i="52"/>
  <c r="D42" i="52"/>
  <c r="B42" i="52"/>
  <c r="C42" i="52" s="1"/>
  <c r="E42" i="52" s="1"/>
  <c r="J42" i="52" s="1"/>
  <c r="F41" i="52"/>
  <c r="D41" i="52"/>
  <c r="B41" i="52"/>
  <c r="C41" i="52" s="1"/>
  <c r="E41" i="52" s="1"/>
  <c r="J41" i="52" s="1"/>
  <c r="O37" i="52"/>
  <c r="A37" i="52"/>
  <c r="O36" i="52"/>
  <c r="A36" i="52"/>
  <c r="O35" i="52"/>
  <c r="A35" i="52"/>
  <c r="O34" i="52"/>
  <c r="A34" i="52"/>
  <c r="O33" i="52"/>
  <c r="A33" i="52"/>
  <c r="O32" i="52"/>
  <c r="A32" i="52"/>
  <c r="O31" i="52"/>
  <c r="A31" i="52"/>
  <c r="O30" i="52"/>
  <c r="A30" i="52"/>
  <c r="O29" i="52"/>
  <c r="A29" i="52"/>
  <c r="O28" i="52"/>
  <c r="A28" i="52"/>
  <c r="O27" i="52"/>
  <c r="A27" i="52"/>
  <c r="O26" i="52"/>
  <c r="A26" i="52"/>
  <c r="O25" i="52"/>
  <c r="A25" i="52"/>
  <c r="O24" i="52"/>
  <c r="A24" i="52"/>
  <c r="O23" i="52"/>
  <c r="A23" i="52"/>
  <c r="F55" i="51"/>
  <c r="D55" i="51"/>
  <c r="B55" i="51"/>
  <c r="C55" i="51" s="1"/>
  <c r="E55" i="51" s="1"/>
  <c r="J55" i="51" s="1"/>
  <c r="F54" i="51"/>
  <c r="D54" i="51"/>
  <c r="B54" i="51"/>
  <c r="C54" i="51" s="1"/>
  <c r="E54" i="51" s="1"/>
  <c r="J54" i="51" s="1"/>
  <c r="F53" i="51"/>
  <c r="D53" i="51"/>
  <c r="B53" i="51"/>
  <c r="C53" i="51" s="1"/>
  <c r="E53" i="51" s="1"/>
  <c r="J53" i="51" s="1"/>
  <c r="F52" i="51"/>
  <c r="D52" i="51"/>
  <c r="B52" i="51"/>
  <c r="C52" i="51" s="1"/>
  <c r="E52" i="51" s="1"/>
  <c r="J52" i="51" s="1"/>
  <c r="F51" i="51"/>
  <c r="D51" i="51"/>
  <c r="B51" i="51"/>
  <c r="C51" i="51" s="1"/>
  <c r="E51" i="51" s="1"/>
  <c r="J51" i="51" s="1"/>
  <c r="F50" i="51"/>
  <c r="D50" i="51"/>
  <c r="B50" i="51"/>
  <c r="C50" i="51" s="1"/>
  <c r="E50" i="51" s="1"/>
  <c r="J50" i="51" s="1"/>
  <c r="F49" i="51"/>
  <c r="D49" i="51"/>
  <c r="B49" i="51"/>
  <c r="C49" i="51" s="1"/>
  <c r="E49" i="51" s="1"/>
  <c r="J49" i="51" s="1"/>
  <c r="F48" i="51"/>
  <c r="D48" i="51"/>
  <c r="B48" i="51"/>
  <c r="C48" i="51" s="1"/>
  <c r="E48" i="51" s="1"/>
  <c r="J48" i="51" s="1"/>
  <c r="F47" i="51"/>
  <c r="D47" i="51"/>
  <c r="B47" i="51"/>
  <c r="C47" i="51" s="1"/>
  <c r="E47" i="51" s="1"/>
  <c r="J47" i="51" s="1"/>
  <c r="F46" i="51"/>
  <c r="D46" i="51"/>
  <c r="B46" i="51"/>
  <c r="C46" i="51" s="1"/>
  <c r="E46" i="51" s="1"/>
  <c r="J46" i="51" s="1"/>
  <c r="F45" i="51"/>
  <c r="D45" i="51"/>
  <c r="B45" i="51"/>
  <c r="C45" i="51" s="1"/>
  <c r="E45" i="51" s="1"/>
  <c r="J45" i="51" s="1"/>
  <c r="F44" i="51"/>
  <c r="D44" i="51"/>
  <c r="B44" i="51"/>
  <c r="C44" i="51" s="1"/>
  <c r="E44" i="51" s="1"/>
  <c r="J44" i="51" s="1"/>
  <c r="F43" i="51"/>
  <c r="D43" i="51"/>
  <c r="B43" i="51"/>
  <c r="C43" i="51" s="1"/>
  <c r="E43" i="51" s="1"/>
  <c r="J43" i="51" s="1"/>
  <c r="F42" i="51"/>
  <c r="D42" i="51"/>
  <c r="B42" i="51"/>
  <c r="C42" i="51" s="1"/>
  <c r="E42" i="51" s="1"/>
  <c r="J42" i="51" s="1"/>
  <c r="F41" i="51"/>
  <c r="D41" i="51"/>
  <c r="B41" i="51"/>
  <c r="C41" i="51" s="1"/>
  <c r="E41" i="51" s="1"/>
  <c r="J41" i="51" s="1"/>
  <c r="O37" i="51"/>
  <c r="A37" i="51"/>
  <c r="O36" i="51"/>
  <c r="A36" i="51"/>
  <c r="O35" i="51"/>
  <c r="A35" i="51"/>
  <c r="O34" i="51"/>
  <c r="A34" i="51"/>
  <c r="O33" i="51"/>
  <c r="A33" i="51"/>
  <c r="O32" i="51"/>
  <c r="A32" i="51"/>
  <c r="O31" i="51"/>
  <c r="A31" i="51"/>
  <c r="O30" i="51"/>
  <c r="A30" i="51"/>
  <c r="O29" i="51"/>
  <c r="A29" i="51"/>
  <c r="O28" i="51"/>
  <c r="A28" i="51"/>
  <c r="O27" i="51"/>
  <c r="A27" i="51"/>
  <c r="O26" i="51"/>
  <c r="A26" i="51"/>
  <c r="O25" i="51"/>
  <c r="A25" i="51"/>
  <c r="O24" i="51"/>
  <c r="A24" i="51"/>
  <c r="O23" i="51"/>
  <c r="A23" i="51"/>
  <c r="F55" i="50"/>
  <c r="D55" i="50"/>
  <c r="B55" i="50"/>
  <c r="C55" i="50" s="1"/>
  <c r="E55" i="50" s="1"/>
  <c r="J55" i="50" s="1"/>
  <c r="F54" i="50"/>
  <c r="D54" i="50"/>
  <c r="B54" i="50"/>
  <c r="C54" i="50" s="1"/>
  <c r="E54" i="50" s="1"/>
  <c r="J54" i="50" s="1"/>
  <c r="F53" i="50"/>
  <c r="D53" i="50"/>
  <c r="B53" i="50"/>
  <c r="C53" i="50" s="1"/>
  <c r="E53" i="50" s="1"/>
  <c r="J53" i="50" s="1"/>
  <c r="F52" i="50"/>
  <c r="D52" i="50"/>
  <c r="B52" i="50"/>
  <c r="C52" i="50" s="1"/>
  <c r="E52" i="50" s="1"/>
  <c r="J52" i="50" s="1"/>
  <c r="F51" i="50"/>
  <c r="D51" i="50"/>
  <c r="B51" i="50"/>
  <c r="C51" i="50" s="1"/>
  <c r="E51" i="50" s="1"/>
  <c r="J51" i="50" s="1"/>
  <c r="F50" i="50"/>
  <c r="D50" i="50"/>
  <c r="B50" i="50"/>
  <c r="C50" i="50" s="1"/>
  <c r="E50" i="50" s="1"/>
  <c r="J50" i="50" s="1"/>
  <c r="F49" i="50"/>
  <c r="D49" i="50"/>
  <c r="B49" i="50"/>
  <c r="C49" i="50" s="1"/>
  <c r="E49" i="50" s="1"/>
  <c r="J49" i="50" s="1"/>
  <c r="F48" i="50"/>
  <c r="D48" i="50"/>
  <c r="B48" i="50"/>
  <c r="C48" i="50" s="1"/>
  <c r="E48" i="50" s="1"/>
  <c r="J48" i="50" s="1"/>
  <c r="F47" i="50"/>
  <c r="D47" i="50"/>
  <c r="B47" i="50"/>
  <c r="C47" i="50" s="1"/>
  <c r="E47" i="50" s="1"/>
  <c r="J47" i="50" s="1"/>
  <c r="F46" i="50"/>
  <c r="D46" i="50"/>
  <c r="B46" i="50"/>
  <c r="C46" i="50" s="1"/>
  <c r="E46" i="50" s="1"/>
  <c r="J46" i="50" s="1"/>
  <c r="F45" i="50"/>
  <c r="D45" i="50"/>
  <c r="B45" i="50"/>
  <c r="C45" i="50" s="1"/>
  <c r="E45" i="50" s="1"/>
  <c r="J45" i="50" s="1"/>
  <c r="F44" i="50"/>
  <c r="D44" i="50"/>
  <c r="B44" i="50"/>
  <c r="C44" i="50" s="1"/>
  <c r="E44" i="50" s="1"/>
  <c r="J44" i="50" s="1"/>
  <c r="F43" i="50"/>
  <c r="D43" i="50"/>
  <c r="B43" i="50"/>
  <c r="C43" i="50" s="1"/>
  <c r="E43" i="50" s="1"/>
  <c r="J43" i="50" s="1"/>
  <c r="F42" i="50"/>
  <c r="D42" i="50"/>
  <c r="B42" i="50"/>
  <c r="C42" i="50" s="1"/>
  <c r="E42" i="50" s="1"/>
  <c r="J42" i="50" s="1"/>
  <c r="F41" i="50"/>
  <c r="D41" i="50"/>
  <c r="B41" i="50"/>
  <c r="C41" i="50" s="1"/>
  <c r="E41" i="50" s="1"/>
  <c r="J41" i="50" s="1"/>
  <c r="O37" i="50"/>
  <c r="A37" i="50"/>
  <c r="O36" i="50"/>
  <c r="A36" i="50"/>
  <c r="O35" i="50"/>
  <c r="A35" i="50"/>
  <c r="O34" i="50"/>
  <c r="A34" i="50"/>
  <c r="O33" i="50"/>
  <c r="A33" i="50"/>
  <c r="O32" i="50"/>
  <c r="A32" i="50"/>
  <c r="O31" i="50"/>
  <c r="A31" i="50"/>
  <c r="O30" i="50"/>
  <c r="A30" i="50"/>
  <c r="O29" i="50"/>
  <c r="A29" i="50"/>
  <c r="O28" i="50"/>
  <c r="A28" i="50"/>
  <c r="O27" i="50"/>
  <c r="A27" i="50"/>
  <c r="O26" i="50"/>
  <c r="A26" i="50"/>
  <c r="O25" i="50"/>
  <c r="A25" i="50"/>
  <c r="O24" i="50"/>
  <c r="A24" i="50"/>
  <c r="O23" i="50"/>
  <c r="A23" i="50"/>
  <c r="F55" i="49"/>
  <c r="D55" i="49"/>
  <c r="B55" i="49"/>
  <c r="C55" i="49" s="1"/>
  <c r="E55" i="49" s="1"/>
  <c r="J55" i="49" s="1"/>
  <c r="F54" i="49"/>
  <c r="D54" i="49"/>
  <c r="B54" i="49"/>
  <c r="C54" i="49" s="1"/>
  <c r="E54" i="49" s="1"/>
  <c r="J54" i="49" s="1"/>
  <c r="F53" i="49"/>
  <c r="D53" i="49"/>
  <c r="B53" i="49"/>
  <c r="C53" i="49" s="1"/>
  <c r="E53" i="49" s="1"/>
  <c r="J53" i="49" s="1"/>
  <c r="F52" i="49"/>
  <c r="D52" i="49"/>
  <c r="B52" i="49"/>
  <c r="C52" i="49" s="1"/>
  <c r="E52" i="49" s="1"/>
  <c r="J52" i="49" s="1"/>
  <c r="F51" i="49"/>
  <c r="D51" i="49"/>
  <c r="B51" i="49"/>
  <c r="C51" i="49" s="1"/>
  <c r="E51" i="49" s="1"/>
  <c r="J51" i="49" s="1"/>
  <c r="F50" i="49"/>
  <c r="D50" i="49"/>
  <c r="B50" i="49"/>
  <c r="C50" i="49" s="1"/>
  <c r="E50" i="49" s="1"/>
  <c r="J50" i="49" s="1"/>
  <c r="F49" i="49"/>
  <c r="D49" i="49"/>
  <c r="B49" i="49"/>
  <c r="C49" i="49" s="1"/>
  <c r="E49" i="49" s="1"/>
  <c r="J49" i="49" s="1"/>
  <c r="F48" i="49"/>
  <c r="D48" i="49"/>
  <c r="B48" i="49"/>
  <c r="C48" i="49" s="1"/>
  <c r="E48" i="49" s="1"/>
  <c r="J48" i="49" s="1"/>
  <c r="F47" i="49"/>
  <c r="D47" i="49"/>
  <c r="B47" i="49"/>
  <c r="C47" i="49" s="1"/>
  <c r="E47" i="49" s="1"/>
  <c r="J47" i="49" s="1"/>
  <c r="F46" i="49"/>
  <c r="D46" i="49"/>
  <c r="B46" i="49"/>
  <c r="C46" i="49" s="1"/>
  <c r="E46" i="49" s="1"/>
  <c r="J46" i="49" s="1"/>
  <c r="F45" i="49"/>
  <c r="D45" i="49"/>
  <c r="B45" i="49"/>
  <c r="C45" i="49" s="1"/>
  <c r="E45" i="49" s="1"/>
  <c r="J45" i="49" s="1"/>
  <c r="F44" i="49"/>
  <c r="D44" i="49"/>
  <c r="B44" i="49"/>
  <c r="C44" i="49" s="1"/>
  <c r="E44" i="49" s="1"/>
  <c r="J44" i="49" s="1"/>
  <c r="F43" i="49"/>
  <c r="D43" i="49"/>
  <c r="B43" i="49"/>
  <c r="C43" i="49" s="1"/>
  <c r="E43" i="49" s="1"/>
  <c r="J43" i="49" s="1"/>
  <c r="F42" i="49"/>
  <c r="D42" i="49"/>
  <c r="B42" i="49"/>
  <c r="C42" i="49" s="1"/>
  <c r="E42" i="49" s="1"/>
  <c r="J42" i="49" s="1"/>
  <c r="F41" i="49"/>
  <c r="D41" i="49"/>
  <c r="B41" i="49"/>
  <c r="C41" i="49" s="1"/>
  <c r="E41" i="49" s="1"/>
  <c r="J41" i="49" s="1"/>
  <c r="O37" i="49"/>
  <c r="A37" i="49"/>
  <c r="O36" i="49"/>
  <c r="A36" i="49"/>
  <c r="O35" i="49"/>
  <c r="A35" i="49"/>
  <c r="O34" i="49"/>
  <c r="A34" i="49"/>
  <c r="O33" i="49"/>
  <c r="A33" i="49"/>
  <c r="O32" i="49"/>
  <c r="A32" i="49"/>
  <c r="O31" i="49"/>
  <c r="A31" i="49"/>
  <c r="O30" i="49"/>
  <c r="A30" i="49"/>
  <c r="O29" i="49"/>
  <c r="A29" i="49"/>
  <c r="O28" i="49"/>
  <c r="A28" i="49"/>
  <c r="O27" i="49"/>
  <c r="A27" i="49"/>
  <c r="O26" i="49"/>
  <c r="A26" i="49"/>
  <c r="O25" i="49"/>
  <c r="A25" i="49"/>
  <c r="O24" i="49"/>
  <c r="A24" i="49"/>
  <c r="O23" i="49"/>
  <c r="A23" i="49"/>
  <c r="F55" i="48"/>
  <c r="D55" i="48"/>
  <c r="B55" i="48"/>
  <c r="C55" i="48" s="1"/>
  <c r="E55" i="48" s="1"/>
  <c r="J55" i="48" s="1"/>
  <c r="F54" i="48"/>
  <c r="D54" i="48"/>
  <c r="B54" i="48"/>
  <c r="C54" i="48" s="1"/>
  <c r="E54" i="48" s="1"/>
  <c r="J54" i="48" s="1"/>
  <c r="F53" i="48"/>
  <c r="D53" i="48"/>
  <c r="B53" i="48"/>
  <c r="C53" i="48" s="1"/>
  <c r="E53" i="48" s="1"/>
  <c r="J53" i="48" s="1"/>
  <c r="F52" i="48"/>
  <c r="D52" i="48"/>
  <c r="B52" i="48"/>
  <c r="C52" i="48" s="1"/>
  <c r="E52" i="48" s="1"/>
  <c r="J52" i="48" s="1"/>
  <c r="F51" i="48"/>
  <c r="D51" i="48"/>
  <c r="B51" i="48"/>
  <c r="C51" i="48" s="1"/>
  <c r="E51" i="48" s="1"/>
  <c r="J51" i="48" s="1"/>
  <c r="F50" i="48"/>
  <c r="D50" i="48"/>
  <c r="B50" i="48"/>
  <c r="C50" i="48" s="1"/>
  <c r="E50" i="48" s="1"/>
  <c r="J50" i="48" s="1"/>
  <c r="F49" i="48"/>
  <c r="D49" i="48"/>
  <c r="B49" i="48"/>
  <c r="C49" i="48" s="1"/>
  <c r="E49" i="48" s="1"/>
  <c r="J49" i="48" s="1"/>
  <c r="F48" i="48"/>
  <c r="D48" i="48"/>
  <c r="B48" i="48"/>
  <c r="C48" i="48" s="1"/>
  <c r="E48" i="48" s="1"/>
  <c r="J48" i="48" s="1"/>
  <c r="F47" i="48"/>
  <c r="D47" i="48"/>
  <c r="B47" i="48"/>
  <c r="C47" i="48" s="1"/>
  <c r="E47" i="48" s="1"/>
  <c r="J47" i="48" s="1"/>
  <c r="F46" i="48"/>
  <c r="D46" i="48"/>
  <c r="B46" i="48"/>
  <c r="C46" i="48" s="1"/>
  <c r="E46" i="48" s="1"/>
  <c r="J46" i="48" s="1"/>
  <c r="F45" i="48"/>
  <c r="D45" i="48"/>
  <c r="B45" i="48"/>
  <c r="C45" i="48" s="1"/>
  <c r="E45" i="48" s="1"/>
  <c r="J45" i="48" s="1"/>
  <c r="F44" i="48"/>
  <c r="D44" i="48"/>
  <c r="B44" i="48"/>
  <c r="C44" i="48" s="1"/>
  <c r="E44" i="48" s="1"/>
  <c r="J44" i="48" s="1"/>
  <c r="F43" i="48"/>
  <c r="D43" i="48"/>
  <c r="B43" i="48"/>
  <c r="C43" i="48" s="1"/>
  <c r="E43" i="48" s="1"/>
  <c r="J43" i="48" s="1"/>
  <c r="F42" i="48"/>
  <c r="D42" i="48"/>
  <c r="B42" i="48"/>
  <c r="C42" i="48" s="1"/>
  <c r="E42" i="48" s="1"/>
  <c r="J42" i="48" s="1"/>
  <c r="F41" i="48"/>
  <c r="D41" i="48"/>
  <c r="B41" i="48"/>
  <c r="C41" i="48" s="1"/>
  <c r="E41" i="48" s="1"/>
  <c r="J41" i="48" s="1"/>
  <c r="O37" i="48"/>
  <c r="A37" i="48"/>
  <c r="O36" i="48"/>
  <c r="A36" i="48"/>
  <c r="O35" i="48"/>
  <c r="A35" i="48"/>
  <c r="O34" i="48"/>
  <c r="A34" i="48"/>
  <c r="O33" i="48"/>
  <c r="A33" i="48"/>
  <c r="O32" i="48"/>
  <c r="A32" i="48"/>
  <c r="O31" i="48"/>
  <c r="A31" i="48"/>
  <c r="O30" i="48"/>
  <c r="A30" i="48"/>
  <c r="O29" i="48"/>
  <c r="A29" i="48"/>
  <c r="O28" i="48"/>
  <c r="A28" i="48"/>
  <c r="O27" i="48"/>
  <c r="A27" i="48"/>
  <c r="O26" i="48"/>
  <c r="A26" i="48"/>
  <c r="O25" i="48"/>
  <c r="A25" i="48"/>
  <c r="O24" i="48"/>
  <c r="A24" i="48"/>
  <c r="O23" i="48"/>
  <c r="A23" i="48"/>
  <c r="F55" i="47"/>
  <c r="D55" i="47"/>
  <c r="B55" i="47"/>
  <c r="C55" i="47" s="1"/>
  <c r="E55" i="47" s="1"/>
  <c r="J55" i="47" s="1"/>
  <c r="F54" i="47"/>
  <c r="D54" i="47"/>
  <c r="B54" i="47"/>
  <c r="C54" i="47" s="1"/>
  <c r="E54" i="47" s="1"/>
  <c r="J54" i="47" s="1"/>
  <c r="F53" i="47"/>
  <c r="D53" i="47"/>
  <c r="B53" i="47"/>
  <c r="C53" i="47" s="1"/>
  <c r="E53" i="47" s="1"/>
  <c r="J53" i="47" s="1"/>
  <c r="F52" i="47"/>
  <c r="D52" i="47"/>
  <c r="B52" i="47"/>
  <c r="C52" i="47" s="1"/>
  <c r="E52" i="47" s="1"/>
  <c r="J52" i="47" s="1"/>
  <c r="F51" i="47"/>
  <c r="D51" i="47"/>
  <c r="B51" i="47"/>
  <c r="C51" i="47" s="1"/>
  <c r="E51" i="47" s="1"/>
  <c r="J51" i="47" s="1"/>
  <c r="F50" i="47"/>
  <c r="D50" i="47"/>
  <c r="B50" i="47"/>
  <c r="C50" i="47" s="1"/>
  <c r="E50" i="47" s="1"/>
  <c r="J50" i="47" s="1"/>
  <c r="F49" i="47"/>
  <c r="D49" i="47"/>
  <c r="B49" i="47"/>
  <c r="C49" i="47" s="1"/>
  <c r="E49" i="47" s="1"/>
  <c r="J49" i="47" s="1"/>
  <c r="F48" i="47"/>
  <c r="D48" i="47"/>
  <c r="B48" i="47"/>
  <c r="C48" i="47" s="1"/>
  <c r="E48" i="47" s="1"/>
  <c r="J48" i="47" s="1"/>
  <c r="F47" i="47"/>
  <c r="D47" i="47"/>
  <c r="B47" i="47"/>
  <c r="C47" i="47" s="1"/>
  <c r="E47" i="47" s="1"/>
  <c r="J47" i="47" s="1"/>
  <c r="F46" i="47"/>
  <c r="D46" i="47"/>
  <c r="B46" i="47"/>
  <c r="C46" i="47" s="1"/>
  <c r="E46" i="47" s="1"/>
  <c r="J46" i="47" s="1"/>
  <c r="F45" i="47"/>
  <c r="D45" i="47"/>
  <c r="B45" i="47"/>
  <c r="C45" i="47" s="1"/>
  <c r="E45" i="47" s="1"/>
  <c r="J45" i="47" s="1"/>
  <c r="F44" i="47"/>
  <c r="D44" i="47"/>
  <c r="B44" i="47"/>
  <c r="C44" i="47" s="1"/>
  <c r="E44" i="47" s="1"/>
  <c r="J44" i="47" s="1"/>
  <c r="F43" i="47"/>
  <c r="D43" i="47"/>
  <c r="B43" i="47"/>
  <c r="C43" i="47" s="1"/>
  <c r="E43" i="47" s="1"/>
  <c r="J43" i="47" s="1"/>
  <c r="F42" i="47"/>
  <c r="D42" i="47"/>
  <c r="B42" i="47"/>
  <c r="C42" i="47" s="1"/>
  <c r="E42" i="47" s="1"/>
  <c r="J42" i="47" s="1"/>
  <c r="F41" i="47"/>
  <c r="D41" i="47"/>
  <c r="B41" i="47"/>
  <c r="C41" i="47" s="1"/>
  <c r="E41" i="47" s="1"/>
  <c r="J41" i="47" s="1"/>
  <c r="O37" i="47"/>
  <c r="A37" i="47"/>
  <c r="O36" i="47"/>
  <c r="A36" i="47"/>
  <c r="O35" i="47"/>
  <c r="A35" i="47"/>
  <c r="O34" i="47"/>
  <c r="A34" i="47"/>
  <c r="O33" i="47"/>
  <c r="A33" i="47"/>
  <c r="O32" i="47"/>
  <c r="A32" i="47"/>
  <c r="O31" i="47"/>
  <c r="A31" i="47"/>
  <c r="O30" i="47"/>
  <c r="A30" i="47"/>
  <c r="O29" i="47"/>
  <c r="A29" i="47"/>
  <c r="O28" i="47"/>
  <c r="A28" i="47"/>
  <c r="O27" i="47"/>
  <c r="A27" i="47"/>
  <c r="O26" i="47"/>
  <c r="A26" i="47"/>
  <c r="O25" i="47"/>
  <c r="A25" i="47"/>
  <c r="O24" i="47"/>
  <c r="A24" i="47"/>
  <c r="O23" i="47"/>
  <c r="A23" i="47"/>
  <c r="F55" i="46"/>
  <c r="D55" i="46"/>
  <c r="B55" i="46"/>
  <c r="C55" i="46" s="1"/>
  <c r="E55" i="46" s="1"/>
  <c r="J55" i="46" s="1"/>
  <c r="F54" i="46"/>
  <c r="D54" i="46"/>
  <c r="B54" i="46"/>
  <c r="C54" i="46" s="1"/>
  <c r="E54" i="46" s="1"/>
  <c r="J54" i="46" s="1"/>
  <c r="F53" i="46"/>
  <c r="D53" i="46"/>
  <c r="B53" i="46"/>
  <c r="C53" i="46" s="1"/>
  <c r="E53" i="46" s="1"/>
  <c r="J53" i="46" s="1"/>
  <c r="F52" i="46"/>
  <c r="D52" i="46"/>
  <c r="B52" i="46"/>
  <c r="C52" i="46" s="1"/>
  <c r="E52" i="46" s="1"/>
  <c r="J52" i="46" s="1"/>
  <c r="F51" i="46"/>
  <c r="D51" i="46"/>
  <c r="B51" i="46"/>
  <c r="C51" i="46" s="1"/>
  <c r="E51" i="46" s="1"/>
  <c r="J51" i="46" s="1"/>
  <c r="F50" i="46"/>
  <c r="D50" i="46"/>
  <c r="B50" i="46"/>
  <c r="C50" i="46" s="1"/>
  <c r="E50" i="46" s="1"/>
  <c r="J50" i="46" s="1"/>
  <c r="F49" i="46"/>
  <c r="D49" i="46"/>
  <c r="B49" i="46"/>
  <c r="C49" i="46" s="1"/>
  <c r="E49" i="46" s="1"/>
  <c r="J49" i="46" s="1"/>
  <c r="F48" i="46"/>
  <c r="D48" i="46"/>
  <c r="B48" i="46"/>
  <c r="C48" i="46" s="1"/>
  <c r="E48" i="46" s="1"/>
  <c r="J48" i="46" s="1"/>
  <c r="F47" i="46"/>
  <c r="D47" i="46"/>
  <c r="B47" i="46"/>
  <c r="C47" i="46" s="1"/>
  <c r="E47" i="46" s="1"/>
  <c r="J47" i="46" s="1"/>
  <c r="F46" i="46"/>
  <c r="D46" i="46"/>
  <c r="B46" i="46"/>
  <c r="C46" i="46" s="1"/>
  <c r="E46" i="46" s="1"/>
  <c r="J46" i="46" s="1"/>
  <c r="F45" i="46"/>
  <c r="D45" i="46"/>
  <c r="B45" i="46"/>
  <c r="C45" i="46" s="1"/>
  <c r="E45" i="46" s="1"/>
  <c r="J45" i="46" s="1"/>
  <c r="F44" i="46"/>
  <c r="D44" i="46"/>
  <c r="B44" i="46"/>
  <c r="C44" i="46" s="1"/>
  <c r="E44" i="46" s="1"/>
  <c r="J44" i="46" s="1"/>
  <c r="F43" i="46"/>
  <c r="D43" i="46"/>
  <c r="B43" i="46"/>
  <c r="C43" i="46" s="1"/>
  <c r="E43" i="46" s="1"/>
  <c r="J43" i="46" s="1"/>
  <c r="F42" i="46"/>
  <c r="D42" i="46"/>
  <c r="B42" i="46"/>
  <c r="C42" i="46" s="1"/>
  <c r="E42" i="46" s="1"/>
  <c r="J42" i="46" s="1"/>
  <c r="F41" i="46"/>
  <c r="D41" i="46"/>
  <c r="B41" i="46"/>
  <c r="C41" i="46" s="1"/>
  <c r="E41" i="46" s="1"/>
  <c r="J41" i="46" s="1"/>
  <c r="O37" i="46"/>
  <c r="A37" i="46"/>
  <c r="O36" i="46"/>
  <c r="A36" i="46"/>
  <c r="O35" i="46"/>
  <c r="A35" i="46"/>
  <c r="O34" i="46"/>
  <c r="A34" i="46"/>
  <c r="O33" i="46"/>
  <c r="A33" i="46"/>
  <c r="O32" i="46"/>
  <c r="A32" i="46"/>
  <c r="O31" i="46"/>
  <c r="A31" i="46"/>
  <c r="O30" i="46"/>
  <c r="A30" i="46"/>
  <c r="O29" i="46"/>
  <c r="A29" i="46"/>
  <c r="O28" i="46"/>
  <c r="A28" i="46"/>
  <c r="O27" i="46"/>
  <c r="A27" i="46"/>
  <c r="O26" i="46"/>
  <c r="A26" i="46"/>
  <c r="O25" i="46"/>
  <c r="A25" i="46"/>
  <c r="O24" i="46"/>
  <c r="A24" i="46"/>
  <c r="O23" i="46"/>
  <c r="A23" i="46"/>
  <c r="F55" i="45"/>
  <c r="D55" i="45"/>
  <c r="B55" i="45"/>
  <c r="C55" i="45" s="1"/>
  <c r="E55" i="45" s="1"/>
  <c r="J55" i="45" s="1"/>
  <c r="F54" i="45"/>
  <c r="D54" i="45"/>
  <c r="B54" i="45"/>
  <c r="C54" i="45" s="1"/>
  <c r="E54" i="45" s="1"/>
  <c r="J54" i="45" s="1"/>
  <c r="F53" i="45"/>
  <c r="D53" i="45"/>
  <c r="B53" i="45"/>
  <c r="C53" i="45" s="1"/>
  <c r="E53" i="45" s="1"/>
  <c r="J53" i="45" s="1"/>
  <c r="F52" i="45"/>
  <c r="D52" i="45"/>
  <c r="B52" i="45"/>
  <c r="C52" i="45" s="1"/>
  <c r="E52" i="45" s="1"/>
  <c r="J52" i="45" s="1"/>
  <c r="F51" i="45"/>
  <c r="D51" i="45"/>
  <c r="B51" i="45"/>
  <c r="C51" i="45" s="1"/>
  <c r="E51" i="45" s="1"/>
  <c r="J51" i="45" s="1"/>
  <c r="F50" i="45"/>
  <c r="D50" i="45"/>
  <c r="B50" i="45"/>
  <c r="C50" i="45" s="1"/>
  <c r="E50" i="45" s="1"/>
  <c r="J50" i="45" s="1"/>
  <c r="F49" i="45"/>
  <c r="D49" i="45"/>
  <c r="B49" i="45"/>
  <c r="C49" i="45" s="1"/>
  <c r="E49" i="45" s="1"/>
  <c r="J49" i="45" s="1"/>
  <c r="F48" i="45"/>
  <c r="D48" i="45"/>
  <c r="B48" i="45"/>
  <c r="C48" i="45" s="1"/>
  <c r="E48" i="45" s="1"/>
  <c r="J48" i="45" s="1"/>
  <c r="F47" i="45"/>
  <c r="D47" i="45"/>
  <c r="B47" i="45"/>
  <c r="C47" i="45" s="1"/>
  <c r="E47" i="45" s="1"/>
  <c r="J47" i="45" s="1"/>
  <c r="F46" i="45"/>
  <c r="D46" i="45"/>
  <c r="B46" i="45"/>
  <c r="C46" i="45" s="1"/>
  <c r="E46" i="45" s="1"/>
  <c r="J46" i="45" s="1"/>
  <c r="F45" i="45"/>
  <c r="D45" i="45"/>
  <c r="B45" i="45"/>
  <c r="C45" i="45" s="1"/>
  <c r="E45" i="45" s="1"/>
  <c r="J45" i="45" s="1"/>
  <c r="F44" i="45"/>
  <c r="D44" i="45"/>
  <c r="B44" i="45"/>
  <c r="C44" i="45" s="1"/>
  <c r="E44" i="45" s="1"/>
  <c r="J44" i="45" s="1"/>
  <c r="F43" i="45"/>
  <c r="D43" i="45"/>
  <c r="B43" i="45"/>
  <c r="C43" i="45" s="1"/>
  <c r="E43" i="45" s="1"/>
  <c r="J43" i="45" s="1"/>
  <c r="F42" i="45"/>
  <c r="D42" i="45"/>
  <c r="B42" i="45"/>
  <c r="C42" i="45" s="1"/>
  <c r="E42" i="45" s="1"/>
  <c r="J42" i="45" s="1"/>
  <c r="F41" i="45"/>
  <c r="D41" i="45"/>
  <c r="B41" i="45"/>
  <c r="C41" i="45" s="1"/>
  <c r="E41" i="45" s="1"/>
  <c r="J41" i="45" s="1"/>
  <c r="O37" i="45"/>
  <c r="A37" i="45"/>
  <c r="O36" i="45"/>
  <c r="A36" i="45"/>
  <c r="O35" i="45"/>
  <c r="A35" i="45"/>
  <c r="O34" i="45"/>
  <c r="A34" i="45"/>
  <c r="O33" i="45"/>
  <c r="A33" i="45"/>
  <c r="O32" i="45"/>
  <c r="A32" i="45"/>
  <c r="O31" i="45"/>
  <c r="A31" i="45"/>
  <c r="O30" i="45"/>
  <c r="A30" i="45"/>
  <c r="O29" i="45"/>
  <c r="A29" i="45"/>
  <c r="O28" i="45"/>
  <c r="A28" i="45"/>
  <c r="O27" i="45"/>
  <c r="A27" i="45"/>
  <c r="O26" i="45"/>
  <c r="A26" i="45"/>
  <c r="O25" i="45"/>
  <c r="A25" i="45"/>
  <c r="O24" i="45"/>
  <c r="A24" i="45"/>
  <c r="O23" i="45"/>
  <c r="A23" i="45"/>
  <c r="F55" i="44"/>
  <c r="D55" i="44"/>
  <c r="B55" i="44"/>
  <c r="C55" i="44" s="1"/>
  <c r="E55" i="44" s="1"/>
  <c r="J55" i="44" s="1"/>
  <c r="F54" i="44"/>
  <c r="D54" i="44"/>
  <c r="B54" i="44"/>
  <c r="C54" i="44" s="1"/>
  <c r="E54" i="44" s="1"/>
  <c r="J54" i="44" s="1"/>
  <c r="F53" i="44"/>
  <c r="D53" i="44"/>
  <c r="B53" i="44"/>
  <c r="C53" i="44" s="1"/>
  <c r="E53" i="44" s="1"/>
  <c r="J53" i="44" s="1"/>
  <c r="F52" i="44"/>
  <c r="D52" i="44"/>
  <c r="B52" i="44"/>
  <c r="C52" i="44" s="1"/>
  <c r="E52" i="44" s="1"/>
  <c r="J52" i="44" s="1"/>
  <c r="F51" i="44"/>
  <c r="D51" i="44"/>
  <c r="B51" i="44"/>
  <c r="C51" i="44" s="1"/>
  <c r="E51" i="44" s="1"/>
  <c r="J51" i="44" s="1"/>
  <c r="F50" i="44"/>
  <c r="D50" i="44"/>
  <c r="B50" i="44"/>
  <c r="C50" i="44" s="1"/>
  <c r="E50" i="44" s="1"/>
  <c r="J50" i="44" s="1"/>
  <c r="F49" i="44"/>
  <c r="D49" i="44"/>
  <c r="B49" i="44"/>
  <c r="C49" i="44" s="1"/>
  <c r="E49" i="44" s="1"/>
  <c r="J49" i="44" s="1"/>
  <c r="F48" i="44"/>
  <c r="D48" i="44"/>
  <c r="B48" i="44"/>
  <c r="C48" i="44" s="1"/>
  <c r="E48" i="44" s="1"/>
  <c r="J48" i="44" s="1"/>
  <c r="F47" i="44"/>
  <c r="D47" i="44"/>
  <c r="B47" i="44"/>
  <c r="C47" i="44" s="1"/>
  <c r="E47" i="44" s="1"/>
  <c r="J47" i="44" s="1"/>
  <c r="F46" i="44"/>
  <c r="D46" i="44"/>
  <c r="B46" i="44"/>
  <c r="C46" i="44" s="1"/>
  <c r="E46" i="44" s="1"/>
  <c r="J46" i="44" s="1"/>
  <c r="F45" i="44"/>
  <c r="D45" i="44"/>
  <c r="B45" i="44"/>
  <c r="C45" i="44" s="1"/>
  <c r="E45" i="44" s="1"/>
  <c r="J45" i="44" s="1"/>
  <c r="F44" i="44"/>
  <c r="D44" i="44"/>
  <c r="B44" i="44"/>
  <c r="C44" i="44" s="1"/>
  <c r="E44" i="44" s="1"/>
  <c r="J44" i="44" s="1"/>
  <c r="F43" i="44"/>
  <c r="D43" i="44"/>
  <c r="B43" i="44"/>
  <c r="C43" i="44" s="1"/>
  <c r="E43" i="44" s="1"/>
  <c r="J43" i="44" s="1"/>
  <c r="F42" i="44"/>
  <c r="D42" i="44"/>
  <c r="B42" i="44"/>
  <c r="C42" i="44" s="1"/>
  <c r="E42" i="44" s="1"/>
  <c r="J42" i="44" s="1"/>
  <c r="F41" i="44"/>
  <c r="D41" i="44"/>
  <c r="B41" i="44"/>
  <c r="C41" i="44" s="1"/>
  <c r="E41" i="44" s="1"/>
  <c r="J41" i="44" s="1"/>
  <c r="O37" i="44"/>
  <c r="A37" i="44"/>
  <c r="O36" i="44"/>
  <c r="A36" i="44"/>
  <c r="O35" i="44"/>
  <c r="A35" i="44"/>
  <c r="O34" i="44"/>
  <c r="A34" i="44"/>
  <c r="O33" i="44"/>
  <c r="A33" i="44"/>
  <c r="O32" i="44"/>
  <c r="A32" i="44"/>
  <c r="O31" i="44"/>
  <c r="A31" i="44"/>
  <c r="O30" i="44"/>
  <c r="A30" i="44"/>
  <c r="O29" i="44"/>
  <c r="A29" i="44"/>
  <c r="O28" i="44"/>
  <c r="A28" i="44"/>
  <c r="O27" i="44"/>
  <c r="A27" i="44"/>
  <c r="O26" i="44"/>
  <c r="A26" i="44"/>
  <c r="O25" i="44"/>
  <c r="A25" i="44"/>
  <c r="O24" i="44"/>
  <c r="A24" i="44"/>
  <c r="O23" i="44"/>
  <c r="A23" i="44"/>
  <c r="F55" i="43"/>
  <c r="D55" i="43"/>
  <c r="B55" i="43"/>
  <c r="C55" i="43" s="1"/>
  <c r="E55" i="43" s="1"/>
  <c r="J55" i="43" s="1"/>
  <c r="F54" i="43"/>
  <c r="D54" i="43"/>
  <c r="B54" i="43"/>
  <c r="C54" i="43" s="1"/>
  <c r="E54" i="43" s="1"/>
  <c r="J54" i="43" s="1"/>
  <c r="F53" i="43"/>
  <c r="D53" i="43"/>
  <c r="B53" i="43"/>
  <c r="C53" i="43" s="1"/>
  <c r="E53" i="43" s="1"/>
  <c r="J53" i="43" s="1"/>
  <c r="F52" i="43"/>
  <c r="D52" i="43"/>
  <c r="B52" i="43"/>
  <c r="C52" i="43" s="1"/>
  <c r="E52" i="43" s="1"/>
  <c r="J52" i="43" s="1"/>
  <c r="F51" i="43"/>
  <c r="D51" i="43"/>
  <c r="B51" i="43"/>
  <c r="C51" i="43" s="1"/>
  <c r="E51" i="43" s="1"/>
  <c r="J51" i="43" s="1"/>
  <c r="F50" i="43"/>
  <c r="D50" i="43"/>
  <c r="B50" i="43"/>
  <c r="C50" i="43" s="1"/>
  <c r="E50" i="43" s="1"/>
  <c r="J50" i="43" s="1"/>
  <c r="F49" i="43"/>
  <c r="D49" i="43"/>
  <c r="B49" i="43"/>
  <c r="C49" i="43" s="1"/>
  <c r="E49" i="43" s="1"/>
  <c r="J49" i="43" s="1"/>
  <c r="F48" i="43"/>
  <c r="D48" i="43"/>
  <c r="B48" i="43"/>
  <c r="C48" i="43" s="1"/>
  <c r="E48" i="43" s="1"/>
  <c r="J48" i="43" s="1"/>
  <c r="F47" i="43"/>
  <c r="D47" i="43"/>
  <c r="B47" i="43"/>
  <c r="C47" i="43" s="1"/>
  <c r="E47" i="43" s="1"/>
  <c r="J47" i="43" s="1"/>
  <c r="F46" i="43"/>
  <c r="D46" i="43"/>
  <c r="B46" i="43"/>
  <c r="C46" i="43" s="1"/>
  <c r="E46" i="43" s="1"/>
  <c r="J46" i="43" s="1"/>
  <c r="F45" i="43"/>
  <c r="D45" i="43"/>
  <c r="B45" i="43"/>
  <c r="C45" i="43" s="1"/>
  <c r="E45" i="43" s="1"/>
  <c r="J45" i="43" s="1"/>
  <c r="F44" i="43"/>
  <c r="D44" i="43"/>
  <c r="B44" i="43"/>
  <c r="C44" i="43" s="1"/>
  <c r="E44" i="43" s="1"/>
  <c r="J44" i="43" s="1"/>
  <c r="F43" i="43"/>
  <c r="D43" i="43"/>
  <c r="B43" i="43"/>
  <c r="C43" i="43" s="1"/>
  <c r="E43" i="43" s="1"/>
  <c r="J43" i="43" s="1"/>
  <c r="F42" i="43"/>
  <c r="D42" i="43"/>
  <c r="B42" i="43"/>
  <c r="C42" i="43" s="1"/>
  <c r="E42" i="43" s="1"/>
  <c r="J42" i="43" s="1"/>
  <c r="F41" i="43"/>
  <c r="D41" i="43"/>
  <c r="B41" i="43"/>
  <c r="C41" i="43" s="1"/>
  <c r="E41" i="43" s="1"/>
  <c r="J41" i="43" s="1"/>
  <c r="O37" i="43"/>
  <c r="A37" i="43"/>
  <c r="O36" i="43"/>
  <c r="A36" i="43"/>
  <c r="O35" i="43"/>
  <c r="A35" i="43"/>
  <c r="O34" i="43"/>
  <c r="A34" i="43"/>
  <c r="O33" i="43"/>
  <c r="A33" i="43"/>
  <c r="O32" i="43"/>
  <c r="A32" i="43"/>
  <c r="O31" i="43"/>
  <c r="A31" i="43"/>
  <c r="O30" i="43"/>
  <c r="A30" i="43"/>
  <c r="O29" i="43"/>
  <c r="A29" i="43"/>
  <c r="O28" i="43"/>
  <c r="A28" i="43"/>
  <c r="O27" i="43"/>
  <c r="A27" i="43"/>
  <c r="O26" i="43"/>
  <c r="A26" i="43"/>
  <c r="O25" i="43"/>
  <c r="A25" i="43"/>
  <c r="O24" i="43"/>
  <c r="A24" i="43"/>
  <c r="O23" i="43"/>
  <c r="A23" i="43"/>
  <c r="F55" i="42"/>
  <c r="D55" i="42"/>
  <c r="B55" i="42"/>
  <c r="C55" i="42" s="1"/>
  <c r="E55" i="42" s="1"/>
  <c r="J55" i="42" s="1"/>
  <c r="F54" i="42"/>
  <c r="D54" i="42"/>
  <c r="B54" i="42"/>
  <c r="C54" i="42" s="1"/>
  <c r="E54" i="42" s="1"/>
  <c r="J54" i="42" s="1"/>
  <c r="F53" i="42"/>
  <c r="D53" i="42"/>
  <c r="B53" i="42"/>
  <c r="C53" i="42" s="1"/>
  <c r="E53" i="42" s="1"/>
  <c r="J53" i="42" s="1"/>
  <c r="F52" i="42"/>
  <c r="D52" i="42"/>
  <c r="B52" i="42"/>
  <c r="C52" i="42" s="1"/>
  <c r="E52" i="42" s="1"/>
  <c r="J52" i="42" s="1"/>
  <c r="F51" i="42"/>
  <c r="D51" i="42"/>
  <c r="B51" i="42"/>
  <c r="C51" i="42" s="1"/>
  <c r="E51" i="42" s="1"/>
  <c r="J51" i="42" s="1"/>
  <c r="F50" i="42"/>
  <c r="D50" i="42"/>
  <c r="B50" i="42"/>
  <c r="C50" i="42" s="1"/>
  <c r="E50" i="42" s="1"/>
  <c r="J50" i="42" s="1"/>
  <c r="F49" i="42"/>
  <c r="D49" i="42"/>
  <c r="B49" i="42"/>
  <c r="C49" i="42" s="1"/>
  <c r="E49" i="42" s="1"/>
  <c r="J49" i="42" s="1"/>
  <c r="F48" i="42"/>
  <c r="D48" i="42"/>
  <c r="B48" i="42"/>
  <c r="C48" i="42" s="1"/>
  <c r="E48" i="42" s="1"/>
  <c r="J48" i="42" s="1"/>
  <c r="F47" i="42"/>
  <c r="D47" i="42"/>
  <c r="B47" i="42"/>
  <c r="C47" i="42" s="1"/>
  <c r="E47" i="42" s="1"/>
  <c r="J47" i="42" s="1"/>
  <c r="F46" i="42"/>
  <c r="D46" i="42"/>
  <c r="B46" i="42"/>
  <c r="C46" i="42" s="1"/>
  <c r="E46" i="42" s="1"/>
  <c r="J46" i="42" s="1"/>
  <c r="F45" i="42"/>
  <c r="D45" i="42"/>
  <c r="B45" i="42"/>
  <c r="C45" i="42" s="1"/>
  <c r="E45" i="42" s="1"/>
  <c r="J45" i="42" s="1"/>
  <c r="F44" i="42"/>
  <c r="D44" i="42"/>
  <c r="B44" i="42"/>
  <c r="C44" i="42" s="1"/>
  <c r="E44" i="42" s="1"/>
  <c r="J44" i="42" s="1"/>
  <c r="F43" i="42"/>
  <c r="D43" i="42"/>
  <c r="B43" i="42"/>
  <c r="C43" i="42" s="1"/>
  <c r="E43" i="42" s="1"/>
  <c r="J43" i="42" s="1"/>
  <c r="F42" i="42"/>
  <c r="D42" i="42"/>
  <c r="B42" i="42"/>
  <c r="C42" i="42" s="1"/>
  <c r="E42" i="42" s="1"/>
  <c r="J42" i="42" s="1"/>
  <c r="F41" i="42"/>
  <c r="D41" i="42"/>
  <c r="B41" i="42"/>
  <c r="C41" i="42" s="1"/>
  <c r="E41" i="42" s="1"/>
  <c r="J41" i="42" s="1"/>
  <c r="O37" i="42"/>
  <c r="A37" i="42"/>
  <c r="O36" i="42"/>
  <c r="A36" i="42"/>
  <c r="O35" i="42"/>
  <c r="A35" i="42"/>
  <c r="O34" i="42"/>
  <c r="A34" i="42"/>
  <c r="O33" i="42"/>
  <c r="A33" i="42"/>
  <c r="O32" i="42"/>
  <c r="A32" i="42"/>
  <c r="O31" i="42"/>
  <c r="A31" i="42"/>
  <c r="O30" i="42"/>
  <c r="A30" i="42"/>
  <c r="O29" i="42"/>
  <c r="A29" i="42"/>
  <c r="O28" i="42"/>
  <c r="A28" i="42"/>
  <c r="O27" i="42"/>
  <c r="A27" i="42"/>
  <c r="O26" i="42"/>
  <c r="A26" i="42"/>
  <c r="O25" i="42"/>
  <c r="A25" i="42"/>
  <c r="O24" i="42"/>
  <c r="A24" i="42"/>
  <c r="O23" i="42"/>
  <c r="A23" i="42"/>
  <c r="F55" i="41"/>
  <c r="D55" i="41"/>
  <c r="B55" i="41"/>
  <c r="C55" i="41" s="1"/>
  <c r="E55" i="41" s="1"/>
  <c r="J55" i="41" s="1"/>
  <c r="F54" i="41"/>
  <c r="D54" i="41"/>
  <c r="B54" i="41"/>
  <c r="C54" i="41" s="1"/>
  <c r="E54" i="41" s="1"/>
  <c r="J54" i="41" s="1"/>
  <c r="F53" i="41"/>
  <c r="D53" i="41"/>
  <c r="B53" i="41"/>
  <c r="C53" i="41" s="1"/>
  <c r="E53" i="41" s="1"/>
  <c r="J53" i="41" s="1"/>
  <c r="F52" i="41"/>
  <c r="D52" i="41"/>
  <c r="B52" i="41"/>
  <c r="C52" i="41" s="1"/>
  <c r="E52" i="41" s="1"/>
  <c r="J52" i="41" s="1"/>
  <c r="F51" i="41"/>
  <c r="D51" i="41"/>
  <c r="B51" i="41"/>
  <c r="C51" i="41" s="1"/>
  <c r="E51" i="41" s="1"/>
  <c r="J51" i="41" s="1"/>
  <c r="F50" i="41"/>
  <c r="D50" i="41"/>
  <c r="B50" i="41"/>
  <c r="C50" i="41" s="1"/>
  <c r="E50" i="41" s="1"/>
  <c r="J50" i="41" s="1"/>
  <c r="F49" i="41"/>
  <c r="D49" i="41"/>
  <c r="B49" i="41"/>
  <c r="C49" i="41" s="1"/>
  <c r="E49" i="41" s="1"/>
  <c r="J49" i="41" s="1"/>
  <c r="F48" i="41"/>
  <c r="D48" i="41"/>
  <c r="B48" i="41"/>
  <c r="C48" i="41" s="1"/>
  <c r="E48" i="41" s="1"/>
  <c r="J48" i="41" s="1"/>
  <c r="F47" i="41"/>
  <c r="D47" i="41"/>
  <c r="B47" i="41"/>
  <c r="C47" i="41" s="1"/>
  <c r="E47" i="41" s="1"/>
  <c r="J47" i="41" s="1"/>
  <c r="F46" i="41"/>
  <c r="D46" i="41"/>
  <c r="B46" i="41"/>
  <c r="C46" i="41" s="1"/>
  <c r="E46" i="41" s="1"/>
  <c r="J46" i="41" s="1"/>
  <c r="F45" i="41"/>
  <c r="D45" i="41"/>
  <c r="B45" i="41"/>
  <c r="C45" i="41" s="1"/>
  <c r="E45" i="41" s="1"/>
  <c r="J45" i="41" s="1"/>
  <c r="F44" i="41"/>
  <c r="D44" i="41"/>
  <c r="B44" i="41"/>
  <c r="C44" i="41" s="1"/>
  <c r="E44" i="41" s="1"/>
  <c r="J44" i="41" s="1"/>
  <c r="F43" i="41"/>
  <c r="D43" i="41"/>
  <c r="B43" i="41"/>
  <c r="C43" i="41" s="1"/>
  <c r="E43" i="41" s="1"/>
  <c r="J43" i="41" s="1"/>
  <c r="F42" i="41"/>
  <c r="D42" i="41"/>
  <c r="B42" i="41"/>
  <c r="C42" i="41" s="1"/>
  <c r="E42" i="41" s="1"/>
  <c r="J42" i="41" s="1"/>
  <c r="F41" i="41"/>
  <c r="D41" i="41"/>
  <c r="B41" i="41"/>
  <c r="C41" i="41" s="1"/>
  <c r="E41" i="41" s="1"/>
  <c r="J41" i="41" s="1"/>
  <c r="O37" i="41"/>
  <c r="A37" i="41"/>
  <c r="O36" i="41"/>
  <c r="A36" i="41"/>
  <c r="O35" i="41"/>
  <c r="A35" i="41"/>
  <c r="O34" i="41"/>
  <c r="A34" i="41"/>
  <c r="O33" i="41"/>
  <c r="A33" i="41"/>
  <c r="O32" i="41"/>
  <c r="A32" i="41"/>
  <c r="O31" i="41"/>
  <c r="A31" i="41"/>
  <c r="O30" i="41"/>
  <c r="A30" i="41"/>
  <c r="O29" i="41"/>
  <c r="A29" i="41"/>
  <c r="O28" i="41"/>
  <c r="A28" i="41"/>
  <c r="O27" i="41"/>
  <c r="A27" i="41"/>
  <c r="O26" i="41"/>
  <c r="A26" i="41"/>
  <c r="O25" i="41"/>
  <c r="A25" i="41"/>
  <c r="O24" i="41"/>
  <c r="A24" i="41"/>
  <c r="O23" i="41"/>
  <c r="A23" i="41"/>
  <c r="F55" i="40"/>
  <c r="D55" i="40"/>
  <c r="B55" i="40"/>
  <c r="C55" i="40" s="1"/>
  <c r="E55" i="40" s="1"/>
  <c r="J55" i="40" s="1"/>
  <c r="F54" i="40"/>
  <c r="D54" i="40"/>
  <c r="B54" i="40"/>
  <c r="C54" i="40" s="1"/>
  <c r="E54" i="40" s="1"/>
  <c r="J54" i="40" s="1"/>
  <c r="F53" i="40"/>
  <c r="D53" i="40"/>
  <c r="B53" i="40"/>
  <c r="C53" i="40" s="1"/>
  <c r="E53" i="40" s="1"/>
  <c r="J53" i="40" s="1"/>
  <c r="F52" i="40"/>
  <c r="D52" i="40"/>
  <c r="B52" i="40"/>
  <c r="C52" i="40" s="1"/>
  <c r="E52" i="40" s="1"/>
  <c r="J52" i="40" s="1"/>
  <c r="F51" i="40"/>
  <c r="D51" i="40"/>
  <c r="B51" i="40"/>
  <c r="C51" i="40" s="1"/>
  <c r="E51" i="40" s="1"/>
  <c r="J51" i="40" s="1"/>
  <c r="F50" i="40"/>
  <c r="D50" i="40"/>
  <c r="B50" i="40"/>
  <c r="C50" i="40" s="1"/>
  <c r="E50" i="40" s="1"/>
  <c r="J50" i="40" s="1"/>
  <c r="F49" i="40"/>
  <c r="D49" i="40"/>
  <c r="B49" i="40"/>
  <c r="C49" i="40" s="1"/>
  <c r="E49" i="40" s="1"/>
  <c r="J49" i="40" s="1"/>
  <c r="F48" i="40"/>
  <c r="D48" i="40"/>
  <c r="B48" i="40"/>
  <c r="C48" i="40" s="1"/>
  <c r="E48" i="40" s="1"/>
  <c r="J48" i="40" s="1"/>
  <c r="F47" i="40"/>
  <c r="D47" i="40"/>
  <c r="B47" i="40"/>
  <c r="C47" i="40" s="1"/>
  <c r="E47" i="40" s="1"/>
  <c r="J47" i="40" s="1"/>
  <c r="F46" i="40"/>
  <c r="D46" i="40"/>
  <c r="B46" i="40"/>
  <c r="C46" i="40" s="1"/>
  <c r="E46" i="40" s="1"/>
  <c r="J46" i="40" s="1"/>
  <c r="F45" i="40"/>
  <c r="D45" i="40"/>
  <c r="B45" i="40"/>
  <c r="C45" i="40" s="1"/>
  <c r="E45" i="40" s="1"/>
  <c r="J45" i="40" s="1"/>
  <c r="F44" i="40"/>
  <c r="D44" i="40"/>
  <c r="B44" i="40"/>
  <c r="C44" i="40" s="1"/>
  <c r="E44" i="40" s="1"/>
  <c r="J44" i="40" s="1"/>
  <c r="F43" i="40"/>
  <c r="D43" i="40"/>
  <c r="B43" i="40"/>
  <c r="C43" i="40" s="1"/>
  <c r="E43" i="40" s="1"/>
  <c r="J43" i="40" s="1"/>
  <c r="F42" i="40"/>
  <c r="D42" i="40"/>
  <c r="B42" i="40"/>
  <c r="C42" i="40" s="1"/>
  <c r="E42" i="40" s="1"/>
  <c r="J42" i="40" s="1"/>
  <c r="F41" i="40"/>
  <c r="D41" i="40"/>
  <c r="B41" i="40"/>
  <c r="C41" i="40" s="1"/>
  <c r="E41" i="40" s="1"/>
  <c r="J41" i="40" s="1"/>
  <c r="O37" i="40"/>
  <c r="A37" i="40"/>
  <c r="O36" i="40"/>
  <c r="A36" i="40"/>
  <c r="O35" i="40"/>
  <c r="A35" i="40"/>
  <c r="O34" i="40"/>
  <c r="A34" i="40"/>
  <c r="O33" i="40"/>
  <c r="A33" i="40"/>
  <c r="O32" i="40"/>
  <c r="A32" i="40"/>
  <c r="O31" i="40"/>
  <c r="A31" i="40"/>
  <c r="O30" i="40"/>
  <c r="A30" i="40"/>
  <c r="O29" i="40"/>
  <c r="A29" i="40"/>
  <c r="O28" i="40"/>
  <c r="A28" i="40"/>
  <c r="O27" i="40"/>
  <c r="A27" i="40"/>
  <c r="O26" i="40"/>
  <c r="A26" i="40"/>
  <c r="O25" i="40"/>
  <c r="A25" i="40"/>
  <c r="O24" i="40"/>
  <c r="A24" i="40"/>
  <c r="O23" i="40"/>
  <c r="A23" i="40"/>
  <c r="F55" i="39"/>
  <c r="D55" i="39"/>
  <c r="B55" i="39"/>
  <c r="C55" i="39" s="1"/>
  <c r="E55" i="39" s="1"/>
  <c r="J55" i="39" s="1"/>
  <c r="F54" i="39"/>
  <c r="D54" i="39"/>
  <c r="B54" i="39"/>
  <c r="C54" i="39" s="1"/>
  <c r="E54" i="39" s="1"/>
  <c r="J54" i="39" s="1"/>
  <c r="F53" i="39"/>
  <c r="D53" i="39"/>
  <c r="B53" i="39"/>
  <c r="C53" i="39" s="1"/>
  <c r="E53" i="39" s="1"/>
  <c r="J53" i="39" s="1"/>
  <c r="F52" i="39"/>
  <c r="D52" i="39"/>
  <c r="B52" i="39"/>
  <c r="C52" i="39" s="1"/>
  <c r="E52" i="39" s="1"/>
  <c r="J52" i="39" s="1"/>
  <c r="F51" i="39"/>
  <c r="D51" i="39"/>
  <c r="B51" i="39"/>
  <c r="C51" i="39" s="1"/>
  <c r="E51" i="39" s="1"/>
  <c r="J51" i="39" s="1"/>
  <c r="F50" i="39"/>
  <c r="D50" i="39"/>
  <c r="B50" i="39"/>
  <c r="C50" i="39" s="1"/>
  <c r="E50" i="39" s="1"/>
  <c r="J50" i="39" s="1"/>
  <c r="F49" i="39"/>
  <c r="D49" i="39"/>
  <c r="B49" i="39"/>
  <c r="C49" i="39" s="1"/>
  <c r="E49" i="39" s="1"/>
  <c r="J49" i="39" s="1"/>
  <c r="F48" i="39"/>
  <c r="D48" i="39"/>
  <c r="B48" i="39"/>
  <c r="C48" i="39" s="1"/>
  <c r="E48" i="39" s="1"/>
  <c r="J48" i="39" s="1"/>
  <c r="F47" i="39"/>
  <c r="D47" i="39"/>
  <c r="B47" i="39"/>
  <c r="C47" i="39" s="1"/>
  <c r="E47" i="39" s="1"/>
  <c r="J47" i="39" s="1"/>
  <c r="F46" i="39"/>
  <c r="D46" i="39"/>
  <c r="B46" i="39"/>
  <c r="C46" i="39" s="1"/>
  <c r="E46" i="39" s="1"/>
  <c r="J46" i="39" s="1"/>
  <c r="F45" i="39"/>
  <c r="D45" i="39"/>
  <c r="B45" i="39"/>
  <c r="C45" i="39" s="1"/>
  <c r="E45" i="39" s="1"/>
  <c r="J45" i="39" s="1"/>
  <c r="F44" i="39"/>
  <c r="D44" i="39"/>
  <c r="B44" i="39"/>
  <c r="C44" i="39" s="1"/>
  <c r="E44" i="39" s="1"/>
  <c r="J44" i="39" s="1"/>
  <c r="F43" i="39"/>
  <c r="D43" i="39"/>
  <c r="B43" i="39"/>
  <c r="C43" i="39" s="1"/>
  <c r="E43" i="39" s="1"/>
  <c r="J43" i="39" s="1"/>
  <c r="F42" i="39"/>
  <c r="D42" i="39"/>
  <c r="B42" i="39"/>
  <c r="C42" i="39" s="1"/>
  <c r="E42" i="39" s="1"/>
  <c r="J42" i="39" s="1"/>
  <c r="F41" i="39"/>
  <c r="D41" i="39"/>
  <c r="B41" i="39"/>
  <c r="C41" i="39" s="1"/>
  <c r="E41" i="39" s="1"/>
  <c r="J41" i="39" s="1"/>
  <c r="O37" i="39"/>
  <c r="A37" i="39"/>
  <c r="O36" i="39"/>
  <c r="A36" i="39"/>
  <c r="O35" i="39"/>
  <c r="A35" i="39"/>
  <c r="O34" i="39"/>
  <c r="A34" i="39"/>
  <c r="O33" i="39"/>
  <c r="A33" i="39"/>
  <c r="O32" i="39"/>
  <c r="A32" i="39"/>
  <c r="O31" i="39"/>
  <c r="A31" i="39"/>
  <c r="O30" i="39"/>
  <c r="A30" i="39"/>
  <c r="O29" i="39"/>
  <c r="A29" i="39"/>
  <c r="O28" i="39"/>
  <c r="A28" i="39"/>
  <c r="O27" i="39"/>
  <c r="A27" i="39"/>
  <c r="O26" i="39"/>
  <c r="A26" i="39"/>
  <c r="O25" i="39"/>
  <c r="A25" i="39"/>
  <c r="O24" i="39"/>
  <c r="A24" i="39"/>
  <c r="O23" i="39"/>
  <c r="A23" i="39"/>
  <c r="F55" i="38"/>
  <c r="D55" i="38"/>
  <c r="B55" i="38"/>
  <c r="C55" i="38" s="1"/>
  <c r="E55" i="38" s="1"/>
  <c r="J55" i="38" s="1"/>
  <c r="F54" i="38"/>
  <c r="D54" i="38"/>
  <c r="B54" i="38"/>
  <c r="C54" i="38" s="1"/>
  <c r="E54" i="38" s="1"/>
  <c r="J54" i="38" s="1"/>
  <c r="F53" i="38"/>
  <c r="D53" i="38"/>
  <c r="B53" i="38"/>
  <c r="C53" i="38" s="1"/>
  <c r="E53" i="38" s="1"/>
  <c r="J53" i="38" s="1"/>
  <c r="F52" i="38"/>
  <c r="D52" i="38"/>
  <c r="B52" i="38"/>
  <c r="C52" i="38" s="1"/>
  <c r="E52" i="38" s="1"/>
  <c r="J52" i="38" s="1"/>
  <c r="F51" i="38"/>
  <c r="D51" i="38"/>
  <c r="B51" i="38"/>
  <c r="C51" i="38" s="1"/>
  <c r="E51" i="38" s="1"/>
  <c r="J51" i="38" s="1"/>
  <c r="F50" i="38"/>
  <c r="D50" i="38"/>
  <c r="B50" i="38"/>
  <c r="C50" i="38" s="1"/>
  <c r="E50" i="38" s="1"/>
  <c r="J50" i="38" s="1"/>
  <c r="F49" i="38"/>
  <c r="D49" i="38"/>
  <c r="B49" i="38"/>
  <c r="C49" i="38" s="1"/>
  <c r="E49" i="38" s="1"/>
  <c r="J49" i="38" s="1"/>
  <c r="F48" i="38"/>
  <c r="D48" i="38"/>
  <c r="B48" i="38"/>
  <c r="C48" i="38" s="1"/>
  <c r="E48" i="38" s="1"/>
  <c r="J48" i="38" s="1"/>
  <c r="F47" i="38"/>
  <c r="D47" i="38"/>
  <c r="B47" i="38"/>
  <c r="C47" i="38" s="1"/>
  <c r="E47" i="38" s="1"/>
  <c r="J47" i="38" s="1"/>
  <c r="F46" i="38"/>
  <c r="D46" i="38"/>
  <c r="B46" i="38"/>
  <c r="C46" i="38" s="1"/>
  <c r="E46" i="38" s="1"/>
  <c r="J46" i="38" s="1"/>
  <c r="F45" i="38"/>
  <c r="D45" i="38"/>
  <c r="B45" i="38"/>
  <c r="C45" i="38" s="1"/>
  <c r="E45" i="38" s="1"/>
  <c r="J45" i="38" s="1"/>
  <c r="F44" i="38"/>
  <c r="D44" i="38"/>
  <c r="B44" i="38"/>
  <c r="C44" i="38" s="1"/>
  <c r="E44" i="38" s="1"/>
  <c r="J44" i="38" s="1"/>
  <c r="F43" i="38"/>
  <c r="D43" i="38"/>
  <c r="B43" i="38"/>
  <c r="C43" i="38" s="1"/>
  <c r="E43" i="38" s="1"/>
  <c r="J43" i="38" s="1"/>
  <c r="F42" i="38"/>
  <c r="D42" i="38"/>
  <c r="B42" i="38"/>
  <c r="C42" i="38" s="1"/>
  <c r="E42" i="38" s="1"/>
  <c r="J42" i="38" s="1"/>
  <c r="F41" i="38"/>
  <c r="D41" i="38"/>
  <c r="B41" i="38"/>
  <c r="C41" i="38" s="1"/>
  <c r="E41" i="38" s="1"/>
  <c r="J41" i="38" s="1"/>
  <c r="O37" i="38"/>
  <c r="A37" i="38"/>
  <c r="O36" i="38"/>
  <c r="A36" i="38"/>
  <c r="O35" i="38"/>
  <c r="A35" i="38"/>
  <c r="O34" i="38"/>
  <c r="A34" i="38"/>
  <c r="O33" i="38"/>
  <c r="A33" i="38"/>
  <c r="O32" i="38"/>
  <c r="A32" i="38"/>
  <c r="O31" i="38"/>
  <c r="A31" i="38"/>
  <c r="O30" i="38"/>
  <c r="A30" i="38"/>
  <c r="O29" i="38"/>
  <c r="A29" i="38"/>
  <c r="O28" i="38"/>
  <c r="A28" i="38"/>
  <c r="O27" i="38"/>
  <c r="A27" i="38"/>
  <c r="O26" i="38"/>
  <c r="A26" i="38"/>
  <c r="O25" i="38"/>
  <c r="A25" i="38"/>
  <c r="O24" i="38"/>
  <c r="A24" i="38"/>
  <c r="O23" i="38"/>
  <c r="A23" i="38"/>
  <c r="F55" i="37"/>
  <c r="D55" i="37"/>
  <c r="B55" i="37"/>
  <c r="C55" i="37" s="1"/>
  <c r="E55" i="37" s="1"/>
  <c r="J55" i="37" s="1"/>
  <c r="F54" i="37"/>
  <c r="D54" i="37"/>
  <c r="B54" i="37"/>
  <c r="C54" i="37" s="1"/>
  <c r="E54" i="37" s="1"/>
  <c r="J54" i="37" s="1"/>
  <c r="F53" i="37"/>
  <c r="D53" i="37"/>
  <c r="B53" i="37"/>
  <c r="C53" i="37" s="1"/>
  <c r="E53" i="37" s="1"/>
  <c r="J53" i="37" s="1"/>
  <c r="F52" i="37"/>
  <c r="D52" i="37"/>
  <c r="B52" i="37"/>
  <c r="C52" i="37" s="1"/>
  <c r="E52" i="37" s="1"/>
  <c r="J52" i="37" s="1"/>
  <c r="F51" i="37"/>
  <c r="D51" i="37"/>
  <c r="B51" i="37"/>
  <c r="C51" i="37" s="1"/>
  <c r="E51" i="37" s="1"/>
  <c r="J51" i="37" s="1"/>
  <c r="F50" i="37"/>
  <c r="D50" i="37"/>
  <c r="B50" i="37"/>
  <c r="C50" i="37" s="1"/>
  <c r="E50" i="37" s="1"/>
  <c r="J50" i="37" s="1"/>
  <c r="F49" i="37"/>
  <c r="D49" i="37"/>
  <c r="B49" i="37"/>
  <c r="C49" i="37" s="1"/>
  <c r="E49" i="37" s="1"/>
  <c r="J49" i="37" s="1"/>
  <c r="F48" i="37"/>
  <c r="D48" i="37"/>
  <c r="B48" i="37"/>
  <c r="C48" i="37" s="1"/>
  <c r="E48" i="37" s="1"/>
  <c r="J48" i="37" s="1"/>
  <c r="F47" i="37"/>
  <c r="D47" i="37"/>
  <c r="B47" i="37"/>
  <c r="C47" i="37" s="1"/>
  <c r="E47" i="37" s="1"/>
  <c r="J47" i="37" s="1"/>
  <c r="F46" i="37"/>
  <c r="D46" i="37"/>
  <c r="B46" i="37"/>
  <c r="C46" i="37" s="1"/>
  <c r="E46" i="37" s="1"/>
  <c r="J46" i="37" s="1"/>
  <c r="F45" i="37"/>
  <c r="D45" i="37"/>
  <c r="B45" i="37"/>
  <c r="C45" i="37" s="1"/>
  <c r="E45" i="37" s="1"/>
  <c r="J45" i="37" s="1"/>
  <c r="F44" i="37"/>
  <c r="D44" i="37"/>
  <c r="B44" i="37"/>
  <c r="C44" i="37" s="1"/>
  <c r="E44" i="37" s="1"/>
  <c r="J44" i="37" s="1"/>
  <c r="F43" i="37"/>
  <c r="D43" i="37"/>
  <c r="B43" i="37"/>
  <c r="C43" i="37" s="1"/>
  <c r="E43" i="37" s="1"/>
  <c r="J43" i="37" s="1"/>
  <c r="F42" i="37"/>
  <c r="D42" i="37"/>
  <c r="B42" i="37"/>
  <c r="C42" i="37" s="1"/>
  <c r="E42" i="37" s="1"/>
  <c r="J42" i="37" s="1"/>
  <c r="F41" i="37"/>
  <c r="D41" i="37"/>
  <c r="B41" i="37"/>
  <c r="C41" i="37" s="1"/>
  <c r="E41" i="37" s="1"/>
  <c r="J41" i="37" s="1"/>
  <c r="O37" i="37"/>
  <c r="A37" i="37"/>
  <c r="O36" i="37"/>
  <c r="A36" i="37"/>
  <c r="O35" i="37"/>
  <c r="A35" i="37"/>
  <c r="O34" i="37"/>
  <c r="A34" i="37"/>
  <c r="O33" i="37"/>
  <c r="A33" i="37"/>
  <c r="O32" i="37"/>
  <c r="A32" i="37"/>
  <c r="O31" i="37"/>
  <c r="A31" i="37"/>
  <c r="O30" i="37"/>
  <c r="A30" i="37"/>
  <c r="O29" i="37"/>
  <c r="A29" i="37"/>
  <c r="O28" i="37"/>
  <c r="A28" i="37"/>
  <c r="O27" i="37"/>
  <c r="A27" i="37"/>
  <c r="O26" i="37"/>
  <c r="A26" i="37"/>
  <c r="O25" i="37"/>
  <c r="A25" i="37"/>
  <c r="O24" i="37"/>
  <c r="A24" i="37"/>
  <c r="O23" i="37"/>
  <c r="A23" i="37"/>
  <c r="F55" i="36"/>
  <c r="D55" i="36"/>
  <c r="B55" i="36"/>
  <c r="C55" i="36" s="1"/>
  <c r="E55" i="36" s="1"/>
  <c r="J55" i="36" s="1"/>
  <c r="F54" i="36"/>
  <c r="D54" i="36"/>
  <c r="B54" i="36"/>
  <c r="C54" i="36" s="1"/>
  <c r="E54" i="36" s="1"/>
  <c r="J54" i="36" s="1"/>
  <c r="F53" i="36"/>
  <c r="D53" i="36"/>
  <c r="B53" i="36"/>
  <c r="C53" i="36" s="1"/>
  <c r="E53" i="36" s="1"/>
  <c r="J53" i="36" s="1"/>
  <c r="F52" i="36"/>
  <c r="D52" i="36"/>
  <c r="B52" i="36"/>
  <c r="C52" i="36" s="1"/>
  <c r="E52" i="36" s="1"/>
  <c r="J52" i="36" s="1"/>
  <c r="F51" i="36"/>
  <c r="D51" i="36"/>
  <c r="B51" i="36"/>
  <c r="C51" i="36" s="1"/>
  <c r="E51" i="36" s="1"/>
  <c r="J51" i="36" s="1"/>
  <c r="F50" i="36"/>
  <c r="D50" i="36"/>
  <c r="B50" i="36"/>
  <c r="C50" i="36" s="1"/>
  <c r="E50" i="36" s="1"/>
  <c r="J50" i="36" s="1"/>
  <c r="F49" i="36"/>
  <c r="D49" i="36"/>
  <c r="B49" i="36"/>
  <c r="C49" i="36" s="1"/>
  <c r="E49" i="36" s="1"/>
  <c r="J49" i="36" s="1"/>
  <c r="F48" i="36"/>
  <c r="D48" i="36"/>
  <c r="B48" i="36"/>
  <c r="C48" i="36" s="1"/>
  <c r="E48" i="36" s="1"/>
  <c r="J48" i="36" s="1"/>
  <c r="F47" i="36"/>
  <c r="D47" i="36"/>
  <c r="B47" i="36"/>
  <c r="C47" i="36" s="1"/>
  <c r="E47" i="36" s="1"/>
  <c r="J47" i="36" s="1"/>
  <c r="F46" i="36"/>
  <c r="D46" i="36"/>
  <c r="B46" i="36"/>
  <c r="C46" i="36" s="1"/>
  <c r="E46" i="36" s="1"/>
  <c r="J46" i="36" s="1"/>
  <c r="F45" i="36"/>
  <c r="D45" i="36"/>
  <c r="B45" i="36"/>
  <c r="C45" i="36" s="1"/>
  <c r="E45" i="36" s="1"/>
  <c r="J45" i="36" s="1"/>
  <c r="F44" i="36"/>
  <c r="D44" i="36"/>
  <c r="B44" i="36"/>
  <c r="C44" i="36" s="1"/>
  <c r="E44" i="36" s="1"/>
  <c r="J44" i="36" s="1"/>
  <c r="F43" i="36"/>
  <c r="D43" i="36"/>
  <c r="B43" i="36"/>
  <c r="C43" i="36" s="1"/>
  <c r="E43" i="36" s="1"/>
  <c r="J43" i="36" s="1"/>
  <c r="F42" i="36"/>
  <c r="D42" i="36"/>
  <c r="B42" i="36"/>
  <c r="C42" i="36" s="1"/>
  <c r="E42" i="36" s="1"/>
  <c r="J42" i="36" s="1"/>
  <c r="F41" i="36"/>
  <c r="D41" i="36"/>
  <c r="B41" i="36"/>
  <c r="C41" i="36" s="1"/>
  <c r="E41" i="36" s="1"/>
  <c r="J41" i="36" s="1"/>
  <c r="O37" i="36"/>
  <c r="A37" i="36"/>
  <c r="O36" i="36"/>
  <c r="A36" i="36"/>
  <c r="O35" i="36"/>
  <c r="A35" i="36"/>
  <c r="O34" i="36"/>
  <c r="A34" i="36"/>
  <c r="O33" i="36"/>
  <c r="A33" i="36"/>
  <c r="O32" i="36"/>
  <c r="A32" i="36"/>
  <c r="O31" i="36"/>
  <c r="A31" i="36"/>
  <c r="O30" i="36"/>
  <c r="A30" i="36"/>
  <c r="O29" i="36"/>
  <c r="A29" i="36"/>
  <c r="O28" i="36"/>
  <c r="A28" i="36"/>
  <c r="O27" i="36"/>
  <c r="A27" i="36"/>
  <c r="O26" i="36"/>
  <c r="A26" i="36"/>
  <c r="O25" i="36"/>
  <c r="A25" i="36"/>
  <c r="O24" i="36"/>
  <c r="A24" i="36"/>
  <c r="O23" i="36"/>
  <c r="A23" i="36"/>
  <c r="F55" i="35"/>
  <c r="D55" i="35"/>
  <c r="B55" i="35"/>
  <c r="C55" i="35" s="1"/>
  <c r="E55" i="35" s="1"/>
  <c r="J55" i="35" s="1"/>
  <c r="F54" i="35"/>
  <c r="D54" i="35"/>
  <c r="B54" i="35"/>
  <c r="C54" i="35" s="1"/>
  <c r="E54" i="35" s="1"/>
  <c r="J54" i="35" s="1"/>
  <c r="F53" i="35"/>
  <c r="D53" i="35"/>
  <c r="B53" i="35"/>
  <c r="C53" i="35" s="1"/>
  <c r="E53" i="35" s="1"/>
  <c r="J53" i="35" s="1"/>
  <c r="F52" i="35"/>
  <c r="D52" i="35"/>
  <c r="B52" i="35"/>
  <c r="C52" i="35" s="1"/>
  <c r="E52" i="35" s="1"/>
  <c r="J52" i="35" s="1"/>
  <c r="F51" i="35"/>
  <c r="D51" i="35"/>
  <c r="B51" i="35"/>
  <c r="C51" i="35" s="1"/>
  <c r="E51" i="35" s="1"/>
  <c r="J51" i="35" s="1"/>
  <c r="F50" i="35"/>
  <c r="D50" i="35"/>
  <c r="B50" i="35"/>
  <c r="C50" i="35" s="1"/>
  <c r="E50" i="35" s="1"/>
  <c r="J50" i="35" s="1"/>
  <c r="F49" i="35"/>
  <c r="D49" i="35"/>
  <c r="B49" i="35"/>
  <c r="C49" i="35" s="1"/>
  <c r="E49" i="35" s="1"/>
  <c r="J49" i="35" s="1"/>
  <c r="F48" i="35"/>
  <c r="D48" i="35"/>
  <c r="B48" i="35"/>
  <c r="C48" i="35" s="1"/>
  <c r="E48" i="35" s="1"/>
  <c r="J48" i="35" s="1"/>
  <c r="F47" i="35"/>
  <c r="D47" i="35"/>
  <c r="B47" i="35"/>
  <c r="C47" i="35" s="1"/>
  <c r="E47" i="35" s="1"/>
  <c r="J47" i="35" s="1"/>
  <c r="F46" i="35"/>
  <c r="D46" i="35"/>
  <c r="B46" i="35"/>
  <c r="C46" i="35" s="1"/>
  <c r="E46" i="35" s="1"/>
  <c r="J46" i="35" s="1"/>
  <c r="F45" i="35"/>
  <c r="D45" i="35"/>
  <c r="B45" i="35"/>
  <c r="C45" i="35" s="1"/>
  <c r="E45" i="35" s="1"/>
  <c r="J45" i="35" s="1"/>
  <c r="F44" i="35"/>
  <c r="D44" i="35"/>
  <c r="B44" i="35"/>
  <c r="C44" i="35" s="1"/>
  <c r="E44" i="35" s="1"/>
  <c r="J44" i="35" s="1"/>
  <c r="F43" i="35"/>
  <c r="D43" i="35"/>
  <c r="B43" i="35"/>
  <c r="C43" i="35" s="1"/>
  <c r="E43" i="35" s="1"/>
  <c r="J43" i="35" s="1"/>
  <c r="F42" i="35"/>
  <c r="D42" i="35"/>
  <c r="B42" i="35"/>
  <c r="C42" i="35" s="1"/>
  <c r="E42" i="35" s="1"/>
  <c r="J42" i="35" s="1"/>
  <c r="F41" i="35"/>
  <c r="D41" i="35"/>
  <c r="B41" i="35"/>
  <c r="C41" i="35" s="1"/>
  <c r="E41" i="35" s="1"/>
  <c r="J41" i="35" s="1"/>
  <c r="O37" i="35"/>
  <c r="A37" i="35"/>
  <c r="O36" i="35"/>
  <c r="A36" i="35"/>
  <c r="O35" i="35"/>
  <c r="A35" i="35"/>
  <c r="O34" i="35"/>
  <c r="A34" i="35"/>
  <c r="O33" i="35"/>
  <c r="A33" i="35"/>
  <c r="O32" i="35"/>
  <c r="A32" i="35"/>
  <c r="O31" i="35"/>
  <c r="A31" i="35"/>
  <c r="O30" i="35"/>
  <c r="A30" i="35"/>
  <c r="O29" i="35"/>
  <c r="A29" i="35"/>
  <c r="O28" i="35"/>
  <c r="A28" i="35"/>
  <c r="O27" i="35"/>
  <c r="A27" i="35"/>
  <c r="O26" i="35"/>
  <c r="A26" i="35"/>
  <c r="O25" i="35"/>
  <c r="A25" i="35"/>
  <c r="O24" i="35"/>
  <c r="A24" i="35"/>
  <c r="O23" i="35"/>
  <c r="A23" i="35"/>
  <c r="F55" i="34"/>
  <c r="D55" i="34"/>
  <c r="B55" i="34"/>
  <c r="C55" i="34" s="1"/>
  <c r="E55" i="34" s="1"/>
  <c r="J55" i="34" s="1"/>
  <c r="F54" i="34"/>
  <c r="D54" i="34"/>
  <c r="B54" i="34"/>
  <c r="C54" i="34" s="1"/>
  <c r="E54" i="34" s="1"/>
  <c r="J54" i="34" s="1"/>
  <c r="F53" i="34"/>
  <c r="D53" i="34"/>
  <c r="B53" i="34"/>
  <c r="C53" i="34" s="1"/>
  <c r="E53" i="34" s="1"/>
  <c r="J53" i="34" s="1"/>
  <c r="F52" i="34"/>
  <c r="D52" i="34"/>
  <c r="B52" i="34"/>
  <c r="C52" i="34" s="1"/>
  <c r="E52" i="34" s="1"/>
  <c r="J52" i="34" s="1"/>
  <c r="F51" i="34"/>
  <c r="D51" i="34"/>
  <c r="B51" i="34"/>
  <c r="C51" i="34" s="1"/>
  <c r="E51" i="34" s="1"/>
  <c r="J51" i="34" s="1"/>
  <c r="F50" i="34"/>
  <c r="D50" i="34"/>
  <c r="B50" i="34"/>
  <c r="C50" i="34" s="1"/>
  <c r="E50" i="34" s="1"/>
  <c r="J50" i="34" s="1"/>
  <c r="F49" i="34"/>
  <c r="D49" i="34"/>
  <c r="B49" i="34"/>
  <c r="C49" i="34" s="1"/>
  <c r="E49" i="34" s="1"/>
  <c r="J49" i="34" s="1"/>
  <c r="F48" i="34"/>
  <c r="D48" i="34"/>
  <c r="B48" i="34"/>
  <c r="C48" i="34" s="1"/>
  <c r="E48" i="34" s="1"/>
  <c r="J48" i="34" s="1"/>
  <c r="F47" i="34"/>
  <c r="D47" i="34"/>
  <c r="B47" i="34"/>
  <c r="C47" i="34" s="1"/>
  <c r="E47" i="34" s="1"/>
  <c r="J47" i="34" s="1"/>
  <c r="F46" i="34"/>
  <c r="D46" i="34"/>
  <c r="B46" i="34"/>
  <c r="C46" i="34" s="1"/>
  <c r="E46" i="34" s="1"/>
  <c r="J46" i="34" s="1"/>
  <c r="F45" i="34"/>
  <c r="D45" i="34"/>
  <c r="B45" i="34"/>
  <c r="C45" i="34" s="1"/>
  <c r="E45" i="34" s="1"/>
  <c r="J45" i="34" s="1"/>
  <c r="F44" i="34"/>
  <c r="D44" i="34"/>
  <c r="B44" i="34"/>
  <c r="C44" i="34" s="1"/>
  <c r="E44" i="34" s="1"/>
  <c r="J44" i="34" s="1"/>
  <c r="F43" i="34"/>
  <c r="D43" i="34"/>
  <c r="B43" i="34"/>
  <c r="C43" i="34" s="1"/>
  <c r="E43" i="34" s="1"/>
  <c r="J43" i="34" s="1"/>
  <c r="F42" i="34"/>
  <c r="D42" i="34"/>
  <c r="B42" i="34"/>
  <c r="C42" i="34" s="1"/>
  <c r="E42" i="34" s="1"/>
  <c r="J42" i="34" s="1"/>
  <c r="F41" i="34"/>
  <c r="D41" i="34"/>
  <c r="B41" i="34"/>
  <c r="C41" i="34" s="1"/>
  <c r="E41" i="34" s="1"/>
  <c r="J41" i="34" s="1"/>
  <c r="O37" i="34"/>
  <c r="A37" i="34"/>
  <c r="O36" i="34"/>
  <c r="A36" i="34"/>
  <c r="O35" i="34"/>
  <c r="A35" i="34"/>
  <c r="O34" i="34"/>
  <c r="A34" i="34"/>
  <c r="O33" i="34"/>
  <c r="A33" i="34"/>
  <c r="O32" i="34"/>
  <c r="A32" i="34"/>
  <c r="O31" i="34"/>
  <c r="A31" i="34"/>
  <c r="O30" i="34"/>
  <c r="A30" i="34"/>
  <c r="O29" i="34"/>
  <c r="A29" i="34"/>
  <c r="O28" i="34"/>
  <c r="A28" i="34"/>
  <c r="O27" i="34"/>
  <c r="A27" i="34"/>
  <c r="O26" i="34"/>
  <c r="A26" i="34"/>
  <c r="O25" i="34"/>
  <c r="A25" i="34"/>
  <c r="O24" i="34"/>
  <c r="A24" i="34"/>
  <c r="O23" i="34"/>
  <c r="A23" i="34"/>
  <c r="F55" i="33"/>
  <c r="D55" i="33"/>
  <c r="B55" i="33"/>
  <c r="C55" i="33" s="1"/>
  <c r="E55" i="33" s="1"/>
  <c r="J55" i="33" s="1"/>
  <c r="F54" i="33"/>
  <c r="D54" i="33"/>
  <c r="B54" i="33"/>
  <c r="C54" i="33" s="1"/>
  <c r="E54" i="33" s="1"/>
  <c r="J54" i="33" s="1"/>
  <c r="F53" i="33"/>
  <c r="D53" i="33"/>
  <c r="B53" i="33"/>
  <c r="C53" i="33" s="1"/>
  <c r="E53" i="33" s="1"/>
  <c r="J53" i="33" s="1"/>
  <c r="F52" i="33"/>
  <c r="D52" i="33"/>
  <c r="B52" i="33"/>
  <c r="C52" i="33" s="1"/>
  <c r="E52" i="33" s="1"/>
  <c r="J52" i="33" s="1"/>
  <c r="F51" i="33"/>
  <c r="D51" i="33"/>
  <c r="B51" i="33"/>
  <c r="C51" i="33" s="1"/>
  <c r="E51" i="33" s="1"/>
  <c r="J51" i="33" s="1"/>
  <c r="F50" i="33"/>
  <c r="D50" i="33"/>
  <c r="B50" i="33"/>
  <c r="C50" i="33" s="1"/>
  <c r="E50" i="33" s="1"/>
  <c r="J50" i="33" s="1"/>
  <c r="F49" i="33"/>
  <c r="D49" i="33"/>
  <c r="B49" i="33"/>
  <c r="C49" i="33" s="1"/>
  <c r="E49" i="33" s="1"/>
  <c r="J49" i="33" s="1"/>
  <c r="F48" i="33"/>
  <c r="D48" i="33"/>
  <c r="B48" i="33"/>
  <c r="C48" i="33" s="1"/>
  <c r="E48" i="33" s="1"/>
  <c r="J48" i="33" s="1"/>
  <c r="F47" i="33"/>
  <c r="D47" i="33"/>
  <c r="B47" i="33"/>
  <c r="C47" i="33" s="1"/>
  <c r="E47" i="33" s="1"/>
  <c r="J47" i="33" s="1"/>
  <c r="F46" i="33"/>
  <c r="D46" i="33"/>
  <c r="B46" i="33"/>
  <c r="C46" i="33" s="1"/>
  <c r="E46" i="33" s="1"/>
  <c r="J46" i="33" s="1"/>
  <c r="F45" i="33"/>
  <c r="D45" i="33"/>
  <c r="B45" i="33"/>
  <c r="C45" i="33" s="1"/>
  <c r="E45" i="33" s="1"/>
  <c r="J45" i="33" s="1"/>
  <c r="F44" i="33"/>
  <c r="D44" i="33"/>
  <c r="B44" i="33"/>
  <c r="C44" i="33" s="1"/>
  <c r="E44" i="33" s="1"/>
  <c r="J44" i="33" s="1"/>
  <c r="F43" i="33"/>
  <c r="D43" i="33"/>
  <c r="B43" i="33"/>
  <c r="C43" i="33" s="1"/>
  <c r="E43" i="33" s="1"/>
  <c r="J43" i="33" s="1"/>
  <c r="F42" i="33"/>
  <c r="D42" i="33"/>
  <c r="B42" i="33"/>
  <c r="C42" i="33" s="1"/>
  <c r="E42" i="33" s="1"/>
  <c r="J42" i="33" s="1"/>
  <c r="F41" i="33"/>
  <c r="D41" i="33"/>
  <c r="B41" i="33"/>
  <c r="C41" i="33" s="1"/>
  <c r="E41" i="33" s="1"/>
  <c r="J41" i="33" s="1"/>
  <c r="O37" i="33"/>
  <c r="A37" i="33"/>
  <c r="O36" i="33"/>
  <c r="A36" i="33"/>
  <c r="O35" i="33"/>
  <c r="A35" i="33"/>
  <c r="O34" i="33"/>
  <c r="A34" i="33"/>
  <c r="O33" i="33"/>
  <c r="A33" i="33"/>
  <c r="O32" i="33"/>
  <c r="A32" i="33"/>
  <c r="O31" i="33"/>
  <c r="A31" i="33"/>
  <c r="O30" i="33"/>
  <c r="A30" i="33"/>
  <c r="O29" i="33"/>
  <c r="A29" i="33"/>
  <c r="O28" i="33"/>
  <c r="A28" i="33"/>
  <c r="O27" i="33"/>
  <c r="A27" i="33"/>
  <c r="O26" i="33"/>
  <c r="A26" i="33"/>
  <c r="O25" i="33"/>
  <c r="A25" i="33"/>
  <c r="O24" i="33"/>
  <c r="A24" i="33"/>
  <c r="O23" i="33"/>
  <c r="A23" i="33"/>
  <c r="F55" i="32"/>
  <c r="D55" i="32"/>
  <c r="B55" i="32"/>
  <c r="C55" i="32" s="1"/>
  <c r="E55" i="32" s="1"/>
  <c r="J55" i="32" s="1"/>
  <c r="F54" i="32"/>
  <c r="D54" i="32"/>
  <c r="B54" i="32"/>
  <c r="C54" i="32" s="1"/>
  <c r="E54" i="32" s="1"/>
  <c r="J54" i="32" s="1"/>
  <c r="F53" i="32"/>
  <c r="D53" i="32"/>
  <c r="B53" i="32"/>
  <c r="C53" i="32" s="1"/>
  <c r="E53" i="32" s="1"/>
  <c r="J53" i="32" s="1"/>
  <c r="F52" i="32"/>
  <c r="D52" i="32"/>
  <c r="B52" i="32"/>
  <c r="C52" i="32" s="1"/>
  <c r="E52" i="32" s="1"/>
  <c r="J52" i="32" s="1"/>
  <c r="F51" i="32"/>
  <c r="D51" i="32"/>
  <c r="B51" i="32"/>
  <c r="C51" i="32" s="1"/>
  <c r="E51" i="32" s="1"/>
  <c r="J51" i="32" s="1"/>
  <c r="F50" i="32"/>
  <c r="D50" i="32"/>
  <c r="B50" i="32"/>
  <c r="C50" i="32" s="1"/>
  <c r="E50" i="32" s="1"/>
  <c r="J50" i="32" s="1"/>
  <c r="F49" i="32"/>
  <c r="D49" i="32"/>
  <c r="B49" i="32"/>
  <c r="C49" i="32" s="1"/>
  <c r="E49" i="32" s="1"/>
  <c r="J49" i="32" s="1"/>
  <c r="F48" i="32"/>
  <c r="D48" i="32"/>
  <c r="B48" i="32"/>
  <c r="C48" i="32" s="1"/>
  <c r="E48" i="32" s="1"/>
  <c r="J48" i="32" s="1"/>
  <c r="F47" i="32"/>
  <c r="D47" i="32"/>
  <c r="B47" i="32"/>
  <c r="C47" i="32" s="1"/>
  <c r="E47" i="32" s="1"/>
  <c r="J47" i="32" s="1"/>
  <c r="F46" i="32"/>
  <c r="D46" i="32"/>
  <c r="B46" i="32"/>
  <c r="C46" i="32" s="1"/>
  <c r="E46" i="32" s="1"/>
  <c r="J46" i="32" s="1"/>
  <c r="F45" i="32"/>
  <c r="D45" i="32"/>
  <c r="B45" i="32"/>
  <c r="C45" i="32" s="1"/>
  <c r="E45" i="32" s="1"/>
  <c r="J45" i="32" s="1"/>
  <c r="F44" i="32"/>
  <c r="D44" i="32"/>
  <c r="B44" i="32"/>
  <c r="C44" i="32" s="1"/>
  <c r="E44" i="32" s="1"/>
  <c r="J44" i="32" s="1"/>
  <c r="F43" i="32"/>
  <c r="D43" i="32"/>
  <c r="B43" i="32"/>
  <c r="C43" i="32" s="1"/>
  <c r="E43" i="32" s="1"/>
  <c r="J43" i="32" s="1"/>
  <c r="F42" i="32"/>
  <c r="D42" i="32"/>
  <c r="B42" i="32"/>
  <c r="C42" i="32" s="1"/>
  <c r="E42" i="32" s="1"/>
  <c r="J42" i="32" s="1"/>
  <c r="F41" i="32"/>
  <c r="D41" i="32"/>
  <c r="B41" i="32"/>
  <c r="C41" i="32" s="1"/>
  <c r="E41" i="32" s="1"/>
  <c r="J41" i="32" s="1"/>
  <c r="O37" i="32"/>
  <c r="A37" i="32"/>
  <c r="O36" i="32"/>
  <c r="A36" i="32"/>
  <c r="O35" i="32"/>
  <c r="A35" i="32"/>
  <c r="O34" i="32"/>
  <c r="A34" i="32"/>
  <c r="O33" i="32"/>
  <c r="A33" i="32"/>
  <c r="O32" i="32"/>
  <c r="A32" i="32"/>
  <c r="O31" i="32"/>
  <c r="A31" i="32"/>
  <c r="O30" i="32"/>
  <c r="A30" i="32"/>
  <c r="O29" i="32"/>
  <c r="A29" i="32"/>
  <c r="O28" i="32"/>
  <c r="A28" i="32"/>
  <c r="O27" i="32"/>
  <c r="A27" i="32"/>
  <c r="O26" i="32"/>
  <c r="A26" i="32"/>
  <c r="O25" i="32"/>
  <c r="A25" i="32"/>
  <c r="O24" i="32"/>
  <c r="A24" i="32"/>
  <c r="O23" i="32"/>
  <c r="A23" i="32"/>
  <c r="F55" i="31"/>
  <c r="D55" i="31"/>
  <c r="B55" i="31"/>
  <c r="C55" i="31" s="1"/>
  <c r="E55" i="31" s="1"/>
  <c r="J55" i="31" s="1"/>
  <c r="F54" i="31"/>
  <c r="D54" i="31"/>
  <c r="B54" i="31"/>
  <c r="C54" i="31" s="1"/>
  <c r="E54" i="31" s="1"/>
  <c r="J54" i="31" s="1"/>
  <c r="F53" i="31"/>
  <c r="D53" i="31"/>
  <c r="B53" i="31"/>
  <c r="C53" i="31" s="1"/>
  <c r="E53" i="31" s="1"/>
  <c r="J53" i="31" s="1"/>
  <c r="F52" i="31"/>
  <c r="D52" i="31"/>
  <c r="B52" i="31"/>
  <c r="C52" i="31" s="1"/>
  <c r="E52" i="31" s="1"/>
  <c r="J52" i="31" s="1"/>
  <c r="F51" i="31"/>
  <c r="D51" i="31"/>
  <c r="B51" i="31"/>
  <c r="C51" i="31" s="1"/>
  <c r="E51" i="31" s="1"/>
  <c r="J51" i="31" s="1"/>
  <c r="F50" i="31"/>
  <c r="D50" i="31"/>
  <c r="B50" i="31"/>
  <c r="C50" i="31" s="1"/>
  <c r="E50" i="31" s="1"/>
  <c r="J50" i="31" s="1"/>
  <c r="F49" i="31"/>
  <c r="D49" i="31"/>
  <c r="B49" i="31"/>
  <c r="C49" i="31" s="1"/>
  <c r="E49" i="31" s="1"/>
  <c r="J49" i="31" s="1"/>
  <c r="F48" i="31"/>
  <c r="D48" i="31"/>
  <c r="B48" i="31"/>
  <c r="C48" i="31" s="1"/>
  <c r="E48" i="31" s="1"/>
  <c r="J48" i="31" s="1"/>
  <c r="F47" i="31"/>
  <c r="D47" i="31"/>
  <c r="B47" i="31"/>
  <c r="C47" i="31" s="1"/>
  <c r="E47" i="31" s="1"/>
  <c r="J47" i="31" s="1"/>
  <c r="F46" i="31"/>
  <c r="D46" i="31"/>
  <c r="B46" i="31"/>
  <c r="C46" i="31" s="1"/>
  <c r="E46" i="31" s="1"/>
  <c r="J46" i="31" s="1"/>
  <c r="F45" i="31"/>
  <c r="D45" i="31"/>
  <c r="B45" i="31"/>
  <c r="C45" i="31" s="1"/>
  <c r="E45" i="31" s="1"/>
  <c r="J45" i="31" s="1"/>
  <c r="F44" i="31"/>
  <c r="D44" i="31"/>
  <c r="B44" i="31"/>
  <c r="C44" i="31" s="1"/>
  <c r="E44" i="31" s="1"/>
  <c r="J44" i="31" s="1"/>
  <c r="F43" i="31"/>
  <c r="D43" i="31"/>
  <c r="B43" i="31"/>
  <c r="C43" i="31" s="1"/>
  <c r="E43" i="31" s="1"/>
  <c r="J43" i="31" s="1"/>
  <c r="F42" i="31"/>
  <c r="D42" i="31"/>
  <c r="B42" i="31"/>
  <c r="C42" i="31" s="1"/>
  <c r="E42" i="31" s="1"/>
  <c r="J42" i="31" s="1"/>
  <c r="F41" i="31"/>
  <c r="D41" i="31"/>
  <c r="B41" i="31"/>
  <c r="C41" i="31" s="1"/>
  <c r="E41" i="31" s="1"/>
  <c r="J41" i="31" s="1"/>
  <c r="O37" i="31"/>
  <c r="A37" i="31"/>
  <c r="O36" i="31"/>
  <c r="A36" i="31"/>
  <c r="O35" i="31"/>
  <c r="A35" i="31"/>
  <c r="O34" i="31"/>
  <c r="A34" i="31"/>
  <c r="O33" i="31"/>
  <c r="A33" i="31"/>
  <c r="O32" i="31"/>
  <c r="A32" i="31"/>
  <c r="O31" i="31"/>
  <c r="A31" i="31"/>
  <c r="O30" i="31"/>
  <c r="A30" i="31"/>
  <c r="O29" i="31"/>
  <c r="A29" i="31"/>
  <c r="O28" i="31"/>
  <c r="A28" i="31"/>
  <c r="O27" i="31"/>
  <c r="A27" i="31"/>
  <c r="O26" i="31"/>
  <c r="A26" i="31"/>
  <c r="O25" i="31"/>
  <c r="A25" i="31"/>
  <c r="O24" i="31"/>
  <c r="A24" i="31"/>
  <c r="O23" i="31"/>
  <c r="A23" i="31"/>
  <c r="F55" i="30"/>
  <c r="D55" i="30"/>
  <c r="B55" i="30"/>
  <c r="C55" i="30" s="1"/>
  <c r="E55" i="30" s="1"/>
  <c r="J55" i="30" s="1"/>
  <c r="F54" i="30"/>
  <c r="D54" i="30"/>
  <c r="B54" i="30"/>
  <c r="C54" i="30" s="1"/>
  <c r="E54" i="30" s="1"/>
  <c r="J54" i="30" s="1"/>
  <c r="F53" i="30"/>
  <c r="D53" i="30"/>
  <c r="B53" i="30"/>
  <c r="C53" i="30" s="1"/>
  <c r="E53" i="30" s="1"/>
  <c r="J53" i="30" s="1"/>
  <c r="F52" i="30"/>
  <c r="D52" i="30"/>
  <c r="B52" i="30"/>
  <c r="C52" i="30" s="1"/>
  <c r="E52" i="30" s="1"/>
  <c r="J52" i="30" s="1"/>
  <c r="F51" i="30"/>
  <c r="D51" i="30"/>
  <c r="B51" i="30"/>
  <c r="C51" i="30" s="1"/>
  <c r="E51" i="30" s="1"/>
  <c r="J51" i="30" s="1"/>
  <c r="F50" i="30"/>
  <c r="D50" i="30"/>
  <c r="B50" i="30"/>
  <c r="C50" i="30" s="1"/>
  <c r="E50" i="30" s="1"/>
  <c r="J50" i="30" s="1"/>
  <c r="F49" i="30"/>
  <c r="D49" i="30"/>
  <c r="B49" i="30"/>
  <c r="C49" i="30" s="1"/>
  <c r="E49" i="30" s="1"/>
  <c r="J49" i="30" s="1"/>
  <c r="F48" i="30"/>
  <c r="D48" i="30"/>
  <c r="B48" i="30"/>
  <c r="C48" i="30" s="1"/>
  <c r="E48" i="30" s="1"/>
  <c r="J48" i="30" s="1"/>
  <c r="F47" i="30"/>
  <c r="D47" i="30"/>
  <c r="B47" i="30"/>
  <c r="C47" i="30" s="1"/>
  <c r="E47" i="30" s="1"/>
  <c r="J47" i="30" s="1"/>
  <c r="F46" i="30"/>
  <c r="D46" i="30"/>
  <c r="B46" i="30"/>
  <c r="C46" i="30" s="1"/>
  <c r="E46" i="30" s="1"/>
  <c r="J46" i="30" s="1"/>
  <c r="F45" i="30"/>
  <c r="D45" i="30"/>
  <c r="B45" i="30"/>
  <c r="C45" i="30" s="1"/>
  <c r="E45" i="30" s="1"/>
  <c r="J45" i="30" s="1"/>
  <c r="F44" i="30"/>
  <c r="D44" i="30"/>
  <c r="B44" i="30"/>
  <c r="C44" i="30" s="1"/>
  <c r="E44" i="30" s="1"/>
  <c r="J44" i="30" s="1"/>
  <c r="F43" i="30"/>
  <c r="D43" i="30"/>
  <c r="B43" i="30"/>
  <c r="C43" i="30" s="1"/>
  <c r="E43" i="30" s="1"/>
  <c r="J43" i="30" s="1"/>
  <c r="F42" i="30"/>
  <c r="D42" i="30"/>
  <c r="B42" i="30"/>
  <c r="C42" i="30" s="1"/>
  <c r="E42" i="30" s="1"/>
  <c r="J42" i="30" s="1"/>
  <c r="F41" i="30"/>
  <c r="D41" i="30"/>
  <c r="B41" i="30"/>
  <c r="C41" i="30" s="1"/>
  <c r="E41" i="30" s="1"/>
  <c r="J41" i="30" s="1"/>
  <c r="O37" i="30"/>
  <c r="A37" i="30"/>
  <c r="O36" i="30"/>
  <c r="A36" i="30"/>
  <c r="O35" i="30"/>
  <c r="A35" i="30"/>
  <c r="O34" i="30"/>
  <c r="A34" i="30"/>
  <c r="O33" i="30"/>
  <c r="A33" i="30"/>
  <c r="O32" i="30"/>
  <c r="A32" i="30"/>
  <c r="O31" i="30"/>
  <c r="A31" i="30"/>
  <c r="O30" i="30"/>
  <c r="A30" i="30"/>
  <c r="O29" i="30"/>
  <c r="A29" i="30"/>
  <c r="O28" i="30"/>
  <c r="A28" i="30"/>
  <c r="O27" i="30"/>
  <c r="A27" i="30"/>
  <c r="O26" i="30"/>
  <c r="A26" i="30"/>
  <c r="O25" i="30"/>
  <c r="A25" i="30"/>
  <c r="O24" i="30"/>
  <c r="A24" i="30"/>
  <c r="O23" i="30"/>
  <c r="A23" i="30"/>
  <c r="F55" i="29"/>
  <c r="D55" i="29"/>
  <c r="B55" i="29"/>
  <c r="C55" i="29" s="1"/>
  <c r="E55" i="29" s="1"/>
  <c r="J55" i="29" s="1"/>
  <c r="F54" i="29"/>
  <c r="D54" i="29"/>
  <c r="B54" i="29"/>
  <c r="C54" i="29" s="1"/>
  <c r="E54" i="29" s="1"/>
  <c r="J54" i="29" s="1"/>
  <c r="F53" i="29"/>
  <c r="D53" i="29"/>
  <c r="B53" i="29"/>
  <c r="C53" i="29" s="1"/>
  <c r="E53" i="29" s="1"/>
  <c r="J53" i="29" s="1"/>
  <c r="F52" i="29"/>
  <c r="D52" i="29"/>
  <c r="B52" i="29"/>
  <c r="C52" i="29" s="1"/>
  <c r="E52" i="29" s="1"/>
  <c r="J52" i="29" s="1"/>
  <c r="F51" i="29"/>
  <c r="D51" i="29"/>
  <c r="B51" i="29"/>
  <c r="C51" i="29" s="1"/>
  <c r="E51" i="29" s="1"/>
  <c r="J51" i="29" s="1"/>
  <c r="F50" i="29"/>
  <c r="D50" i="29"/>
  <c r="B50" i="29"/>
  <c r="C50" i="29" s="1"/>
  <c r="E50" i="29" s="1"/>
  <c r="J50" i="29" s="1"/>
  <c r="F49" i="29"/>
  <c r="D49" i="29"/>
  <c r="B49" i="29"/>
  <c r="C49" i="29" s="1"/>
  <c r="E49" i="29" s="1"/>
  <c r="J49" i="29" s="1"/>
  <c r="F48" i="29"/>
  <c r="D48" i="29"/>
  <c r="B48" i="29"/>
  <c r="C48" i="29" s="1"/>
  <c r="E48" i="29" s="1"/>
  <c r="J48" i="29" s="1"/>
  <c r="F47" i="29"/>
  <c r="D47" i="29"/>
  <c r="B47" i="29"/>
  <c r="C47" i="29" s="1"/>
  <c r="E47" i="29" s="1"/>
  <c r="J47" i="29" s="1"/>
  <c r="F46" i="29"/>
  <c r="D46" i="29"/>
  <c r="B46" i="29"/>
  <c r="C46" i="29" s="1"/>
  <c r="E46" i="29" s="1"/>
  <c r="J46" i="29" s="1"/>
  <c r="F45" i="29"/>
  <c r="D45" i="29"/>
  <c r="B45" i="29"/>
  <c r="C45" i="29" s="1"/>
  <c r="E45" i="29" s="1"/>
  <c r="J45" i="29" s="1"/>
  <c r="F44" i="29"/>
  <c r="D44" i="29"/>
  <c r="B44" i="29"/>
  <c r="C44" i="29" s="1"/>
  <c r="E44" i="29" s="1"/>
  <c r="J44" i="29" s="1"/>
  <c r="F43" i="29"/>
  <c r="D43" i="29"/>
  <c r="B43" i="29"/>
  <c r="C43" i="29" s="1"/>
  <c r="E43" i="29" s="1"/>
  <c r="J43" i="29" s="1"/>
  <c r="F42" i="29"/>
  <c r="D42" i="29"/>
  <c r="B42" i="29"/>
  <c r="C42" i="29" s="1"/>
  <c r="E42" i="29" s="1"/>
  <c r="J42" i="29" s="1"/>
  <c r="F41" i="29"/>
  <c r="D41" i="29"/>
  <c r="B41" i="29"/>
  <c r="C41" i="29" s="1"/>
  <c r="E41" i="29" s="1"/>
  <c r="J41" i="29" s="1"/>
  <c r="O37" i="29"/>
  <c r="A37" i="29"/>
  <c r="O36" i="29"/>
  <c r="A36" i="29"/>
  <c r="O35" i="29"/>
  <c r="A35" i="29"/>
  <c r="O34" i="29"/>
  <c r="A34" i="29"/>
  <c r="O33" i="29"/>
  <c r="A33" i="29"/>
  <c r="O32" i="29"/>
  <c r="A32" i="29"/>
  <c r="O31" i="29"/>
  <c r="A31" i="29"/>
  <c r="O30" i="29"/>
  <c r="A30" i="29"/>
  <c r="O29" i="29"/>
  <c r="A29" i="29"/>
  <c r="O28" i="29"/>
  <c r="A28" i="29"/>
  <c r="O27" i="29"/>
  <c r="A27" i="29"/>
  <c r="O26" i="29"/>
  <c r="A26" i="29"/>
  <c r="O25" i="29"/>
  <c r="A25" i="29"/>
  <c r="O24" i="29"/>
  <c r="A24" i="29"/>
  <c r="O23" i="29"/>
  <c r="A23" i="29"/>
  <c r="F55" i="28"/>
  <c r="D55" i="28"/>
  <c r="B55" i="28"/>
  <c r="C55" i="28" s="1"/>
  <c r="E55" i="28" s="1"/>
  <c r="J55" i="28" s="1"/>
  <c r="F54" i="28"/>
  <c r="D54" i="28"/>
  <c r="B54" i="28"/>
  <c r="C54" i="28" s="1"/>
  <c r="E54" i="28" s="1"/>
  <c r="J54" i="28" s="1"/>
  <c r="F53" i="28"/>
  <c r="D53" i="28"/>
  <c r="B53" i="28"/>
  <c r="C53" i="28" s="1"/>
  <c r="E53" i="28" s="1"/>
  <c r="J53" i="28" s="1"/>
  <c r="F52" i="28"/>
  <c r="D52" i="28"/>
  <c r="B52" i="28"/>
  <c r="C52" i="28" s="1"/>
  <c r="E52" i="28" s="1"/>
  <c r="J52" i="28" s="1"/>
  <c r="F51" i="28"/>
  <c r="D51" i="28"/>
  <c r="B51" i="28"/>
  <c r="C51" i="28" s="1"/>
  <c r="E51" i="28" s="1"/>
  <c r="J51" i="28" s="1"/>
  <c r="F50" i="28"/>
  <c r="D50" i="28"/>
  <c r="B50" i="28"/>
  <c r="C50" i="28" s="1"/>
  <c r="E50" i="28" s="1"/>
  <c r="J50" i="28" s="1"/>
  <c r="F49" i="28"/>
  <c r="D49" i="28"/>
  <c r="B49" i="28"/>
  <c r="C49" i="28" s="1"/>
  <c r="E49" i="28" s="1"/>
  <c r="J49" i="28" s="1"/>
  <c r="F48" i="28"/>
  <c r="D48" i="28"/>
  <c r="B48" i="28"/>
  <c r="C48" i="28" s="1"/>
  <c r="E48" i="28" s="1"/>
  <c r="J48" i="28" s="1"/>
  <c r="F47" i="28"/>
  <c r="D47" i="28"/>
  <c r="B47" i="28"/>
  <c r="C47" i="28" s="1"/>
  <c r="E47" i="28" s="1"/>
  <c r="J47" i="28" s="1"/>
  <c r="F46" i="28"/>
  <c r="D46" i="28"/>
  <c r="B46" i="28"/>
  <c r="C46" i="28" s="1"/>
  <c r="E46" i="28" s="1"/>
  <c r="J46" i="28" s="1"/>
  <c r="F45" i="28"/>
  <c r="D45" i="28"/>
  <c r="B45" i="28"/>
  <c r="C45" i="28" s="1"/>
  <c r="E45" i="28" s="1"/>
  <c r="J45" i="28" s="1"/>
  <c r="F44" i="28"/>
  <c r="D44" i="28"/>
  <c r="B44" i="28"/>
  <c r="C44" i="28" s="1"/>
  <c r="E44" i="28" s="1"/>
  <c r="J44" i="28" s="1"/>
  <c r="F43" i="28"/>
  <c r="D43" i="28"/>
  <c r="B43" i="28"/>
  <c r="C43" i="28" s="1"/>
  <c r="E43" i="28" s="1"/>
  <c r="J43" i="28" s="1"/>
  <c r="F42" i="28"/>
  <c r="D42" i="28"/>
  <c r="B42" i="28"/>
  <c r="C42" i="28" s="1"/>
  <c r="E42" i="28" s="1"/>
  <c r="J42" i="28" s="1"/>
  <c r="F41" i="28"/>
  <c r="D41" i="28"/>
  <c r="B41" i="28"/>
  <c r="C41" i="28" s="1"/>
  <c r="E41" i="28" s="1"/>
  <c r="J41" i="28" s="1"/>
  <c r="O37" i="28"/>
  <c r="A37" i="28"/>
  <c r="O36" i="28"/>
  <c r="A36" i="28"/>
  <c r="O35" i="28"/>
  <c r="A35" i="28"/>
  <c r="O34" i="28"/>
  <c r="A34" i="28"/>
  <c r="O33" i="28"/>
  <c r="A33" i="28"/>
  <c r="O32" i="28"/>
  <c r="A32" i="28"/>
  <c r="O31" i="28"/>
  <c r="A31" i="28"/>
  <c r="O30" i="28"/>
  <c r="A30" i="28"/>
  <c r="O29" i="28"/>
  <c r="A29" i="28"/>
  <c r="O28" i="28"/>
  <c r="A28" i="28"/>
  <c r="O27" i="28"/>
  <c r="A27" i="28"/>
  <c r="O26" i="28"/>
  <c r="A26" i="28"/>
  <c r="O25" i="28"/>
  <c r="A25" i="28"/>
  <c r="O24" i="28"/>
  <c r="A24" i="28"/>
  <c r="O23" i="28"/>
  <c r="A23" i="28"/>
  <c r="F55" i="27"/>
  <c r="D55" i="27"/>
  <c r="B55" i="27"/>
  <c r="C55" i="27" s="1"/>
  <c r="E55" i="27" s="1"/>
  <c r="J55" i="27" s="1"/>
  <c r="F54" i="27"/>
  <c r="D54" i="27"/>
  <c r="B54" i="27"/>
  <c r="C54" i="27" s="1"/>
  <c r="E54" i="27" s="1"/>
  <c r="J54" i="27" s="1"/>
  <c r="F53" i="27"/>
  <c r="D53" i="27"/>
  <c r="B53" i="27"/>
  <c r="C53" i="27" s="1"/>
  <c r="E53" i="27" s="1"/>
  <c r="J53" i="27" s="1"/>
  <c r="F52" i="27"/>
  <c r="D52" i="27"/>
  <c r="B52" i="27"/>
  <c r="C52" i="27" s="1"/>
  <c r="E52" i="27" s="1"/>
  <c r="J52" i="27" s="1"/>
  <c r="F51" i="27"/>
  <c r="D51" i="27"/>
  <c r="B51" i="27"/>
  <c r="C51" i="27" s="1"/>
  <c r="E51" i="27" s="1"/>
  <c r="J51" i="27" s="1"/>
  <c r="F50" i="27"/>
  <c r="D50" i="27"/>
  <c r="B50" i="27"/>
  <c r="C50" i="27" s="1"/>
  <c r="E50" i="27" s="1"/>
  <c r="J50" i="27" s="1"/>
  <c r="F49" i="27"/>
  <c r="D49" i="27"/>
  <c r="B49" i="27"/>
  <c r="C49" i="27" s="1"/>
  <c r="E49" i="27" s="1"/>
  <c r="J49" i="27" s="1"/>
  <c r="F48" i="27"/>
  <c r="D48" i="27"/>
  <c r="B48" i="27"/>
  <c r="C48" i="27" s="1"/>
  <c r="E48" i="27" s="1"/>
  <c r="J48" i="27" s="1"/>
  <c r="F47" i="27"/>
  <c r="D47" i="27"/>
  <c r="B47" i="27"/>
  <c r="C47" i="27" s="1"/>
  <c r="E47" i="27" s="1"/>
  <c r="J47" i="27" s="1"/>
  <c r="F46" i="27"/>
  <c r="D46" i="27"/>
  <c r="B46" i="27"/>
  <c r="C46" i="27" s="1"/>
  <c r="E46" i="27" s="1"/>
  <c r="J46" i="27" s="1"/>
  <c r="F45" i="27"/>
  <c r="D45" i="27"/>
  <c r="B45" i="27"/>
  <c r="C45" i="27" s="1"/>
  <c r="E45" i="27" s="1"/>
  <c r="J45" i="27" s="1"/>
  <c r="F44" i="27"/>
  <c r="D44" i="27"/>
  <c r="B44" i="27"/>
  <c r="C44" i="27" s="1"/>
  <c r="E44" i="27" s="1"/>
  <c r="J44" i="27" s="1"/>
  <c r="F43" i="27"/>
  <c r="D43" i="27"/>
  <c r="B43" i="27"/>
  <c r="C43" i="27" s="1"/>
  <c r="E43" i="27" s="1"/>
  <c r="J43" i="27" s="1"/>
  <c r="F42" i="27"/>
  <c r="D42" i="27"/>
  <c r="B42" i="27"/>
  <c r="C42" i="27" s="1"/>
  <c r="E42" i="27" s="1"/>
  <c r="J42" i="27" s="1"/>
  <c r="F41" i="27"/>
  <c r="D41" i="27"/>
  <c r="B41" i="27"/>
  <c r="C41" i="27" s="1"/>
  <c r="E41" i="27" s="1"/>
  <c r="J41" i="27" s="1"/>
  <c r="O37" i="27"/>
  <c r="A37" i="27"/>
  <c r="O36" i="27"/>
  <c r="A36" i="27"/>
  <c r="O35" i="27"/>
  <c r="A35" i="27"/>
  <c r="O34" i="27"/>
  <c r="A34" i="27"/>
  <c r="O33" i="27"/>
  <c r="A33" i="27"/>
  <c r="O32" i="27"/>
  <c r="A32" i="27"/>
  <c r="O31" i="27"/>
  <c r="A31" i="27"/>
  <c r="O30" i="27"/>
  <c r="A30" i="27"/>
  <c r="O29" i="27"/>
  <c r="A29" i="27"/>
  <c r="O28" i="27"/>
  <c r="A28" i="27"/>
  <c r="O27" i="27"/>
  <c r="A27" i="27"/>
  <c r="O26" i="27"/>
  <c r="A26" i="27"/>
  <c r="O25" i="27"/>
  <c r="A25" i="27"/>
  <c r="O24" i="27"/>
  <c r="A24" i="27"/>
  <c r="O23" i="27"/>
  <c r="A23" i="27"/>
  <c r="F55" i="26"/>
  <c r="D55" i="26"/>
  <c r="B55" i="26"/>
  <c r="C55" i="26" s="1"/>
  <c r="E55" i="26" s="1"/>
  <c r="J55" i="26" s="1"/>
  <c r="F54" i="26"/>
  <c r="D54" i="26"/>
  <c r="B54" i="26"/>
  <c r="C54" i="26" s="1"/>
  <c r="E54" i="26" s="1"/>
  <c r="J54" i="26" s="1"/>
  <c r="F53" i="26"/>
  <c r="D53" i="26"/>
  <c r="B53" i="26"/>
  <c r="C53" i="26" s="1"/>
  <c r="E53" i="26" s="1"/>
  <c r="J53" i="26" s="1"/>
  <c r="F52" i="26"/>
  <c r="D52" i="26"/>
  <c r="B52" i="26"/>
  <c r="C52" i="26" s="1"/>
  <c r="E52" i="26" s="1"/>
  <c r="J52" i="26" s="1"/>
  <c r="F51" i="26"/>
  <c r="D51" i="26"/>
  <c r="B51" i="26"/>
  <c r="C51" i="26" s="1"/>
  <c r="E51" i="26" s="1"/>
  <c r="J51" i="26" s="1"/>
  <c r="F50" i="26"/>
  <c r="D50" i="26"/>
  <c r="B50" i="26"/>
  <c r="C50" i="26" s="1"/>
  <c r="E50" i="26" s="1"/>
  <c r="J50" i="26" s="1"/>
  <c r="F49" i="26"/>
  <c r="D49" i="26"/>
  <c r="B49" i="26"/>
  <c r="C49" i="26" s="1"/>
  <c r="E49" i="26" s="1"/>
  <c r="J49" i="26" s="1"/>
  <c r="F48" i="26"/>
  <c r="D48" i="26"/>
  <c r="B48" i="26"/>
  <c r="C48" i="26" s="1"/>
  <c r="E48" i="26" s="1"/>
  <c r="J48" i="26" s="1"/>
  <c r="F47" i="26"/>
  <c r="D47" i="26"/>
  <c r="B47" i="26"/>
  <c r="C47" i="26" s="1"/>
  <c r="E47" i="26" s="1"/>
  <c r="J47" i="26" s="1"/>
  <c r="F46" i="26"/>
  <c r="D46" i="26"/>
  <c r="B46" i="26"/>
  <c r="C46" i="26" s="1"/>
  <c r="E46" i="26" s="1"/>
  <c r="J46" i="26" s="1"/>
  <c r="F45" i="26"/>
  <c r="D45" i="26"/>
  <c r="B45" i="26"/>
  <c r="C45" i="26" s="1"/>
  <c r="E45" i="26" s="1"/>
  <c r="J45" i="26" s="1"/>
  <c r="F44" i="26"/>
  <c r="D44" i="26"/>
  <c r="B44" i="26"/>
  <c r="C44" i="26" s="1"/>
  <c r="E44" i="26" s="1"/>
  <c r="J44" i="26" s="1"/>
  <c r="F43" i="26"/>
  <c r="D43" i="26"/>
  <c r="B43" i="26"/>
  <c r="C43" i="26" s="1"/>
  <c r="E43" i="26" s="1"/>
  <c r="J43" i="26" s="1"/>
  <c r="F42" i="26"/>
  <c r="D42" i="26"/>
  <c r="B42" i="26"/>
  <c r="C42" i="26" s="1"/>
  <c r="E42" i="26" s="1"/>
  <c r="J42" i="26" s="1"/>
  <c r="F41" i="26"/>
  <c r="D41" i="26"/>
  <c r="B41" i="26"/>
  <c r="C41" i="26" s="1"/>
  <c r="E41" i="26" s="1"/>
  <c r="J41" i="26" s="1"/>
  <c r="O37" i="26"/>
  <c r="A37" i="26"/>
  <c r="O36" i="26"/>
  <c r="A36" i="26"/>
  <c r="O35" i="26"/>
  <c r="A35" i="26"/>
  <c r="O34" i="26"/>
  <c r="A34" i="26"/>
  <c r="O33" i="26"/>
  <c r="A33" i="26"/>
  <c r="O32" i="26"/>
  <c r="A32" i="26"/>
  <c r="O31" i="26"/>
  <c r="A31" i="26"/>
  <c r="O30" i="26"/>
  <c r="A30" i="26"/>
  <c r="O29" i="26"/>
  <c r="A29" i="26"/>
  <c r="O28" i="26"/>
  <c r="A28" i="26"/>
  <c r="O27" i="26"/>
  <c r="A27" i="26"/>
  <c r="O26" i="26"/>
  <c r="A26" i="26"/>
  <c r="O25" i="26"/>
  <c r="A25" i="26"/>
  <c r="O24" i="26"/>
  <c r="A24" i="26"/>
  <c r="O23" i="26"/>
  <c r="A23" i="26"/>
  <c r="F55" i="25"/>
  <c r="D55" i="25"/>
  <c r="B55" i="25"/>
  <c r="C55" i="25" s="1"/>
  <c r="E55" i="25" s="1"/>
  <c r="J55" i="25" s="1"/>
  <c r="F54" i="25"/>
  <c r="D54" i="25"/>
  <c r="B54" i="25"/>
  <c r="C54" i="25" s="1"/>
  <c r="E54" i="25" s="1"/>
  <c r="J54" i="25" s="1"/>
  <c r="F53" i="25"/>
  <c r="D53" i="25"/>
  <c r="B53" i="25"/>
  <c r="C53" i="25" s="1"/>
  <c r="E53" i="25" s="1"/>
  <c r="J53" i="25" s="1"/>
  <c r="F52" i="25"/>
  <c r="D52" i="25"/>
  <c r="B52" i="25"/>
  <c r="C52" i="25" s="1"/>
  <c r="E52" i="25" s="1"/>
  <c r="J52" i="25" s="1"/>
  <c r="F51" i="25"/>
  <c r="D51" i="25"/>
  <c r="B51" i="25"/>
  <c r="C51" i="25" s="1"/>
  <c r="E51" i="25" s="1"/>
  <c r="J51" i="25" s="1"/>
  <c r="F50" i="25"/>
  <c r="D50" i="25"/>
  <c r="B50" i="25"/>
  <c r="C50" i="25" s="1"/>
  <c r="E50" i="25" s="1"/>
  <c r="J50" i="25" s="1"/>
  <c r="F49" i="25"/>
  <c r="D49" i="25"/>
  <c r="B49" i="25"/>
  <c r="C49" i="25" s="1"/>
  <c r="E49" i="25" s="1"/>
  <c r="J49" i="25" s="1"/>
  <c r="F48" i="25"/>
  <c r="D48" i="25"/>
  <c r="B48" i="25"/>
  <c r="C48" i="25" s="1"/>
  <c r="E48" i="25" s="1"/>
  <c r="J48" i="25" s="1"/>
  <c r="F47" i="25"/>
  <c r="D47" i="25"/>
  <c r="B47" i="25"/>
  <c r="C47" i="25" s="1"/>
  <c r="E47" i="25" s="1"/>
  <c r="J47" i="25" s="1"/>
  <c r="F46" i="25"/>
  <c r="D46" i="25"/>
  <c r="B46" i="25"/>
  <c r="C46" i="25" s="1"/>
  <c r="E46" i="25" s="1"/>
  <c r="J46" i="25" s="1"/>
  <c r="F45" i="25"/>
  <c r="D45" i="25"/>
  <c r="B45" i="25"/>
  <c r="C45" i="25" s="1"/>
  <c r="E45" i="25" s="1"/>
  <c r="J45" i="25" s="1"/>
  <c r="F44" i="25"/>
  <c r="D44" i="25"/>
  <c r="B44" i="25"/>
  <c r="C44" i="25" s="1"/>
  <c r="E44" i="25" s="1"/>
  <c r="J44" i="25" s="1"/>
  <c r="F43" i="25"/>
  <c r="D43" i="25"/>
  <c r="B43" i="25"/>
  <c r="C43" i="25" s="1"/>
  <c r="E43" i="25" s="1"/>
  <c r="J43" i="25" s="1"/>
  <c r="F42" i="25"/>
  <c r="D42" i="25"/>
  <c r="B42" i="25"/>
  <c r="C42" i="25" s="1"/>
  <c r="E42" i="25" s="1"/>
  <c r="J42" i="25" s="1"/>
  <c r="F41" i="25"/>
  <c r="D41" i="25"/>
  <c r="B41" i="25"/>
  <c r="C41" i="25" s="1"/>
  <c r="E41" i="25" s="1"/>
  <c r="J41" i="25" s="1"/>
  <c r="O37" i="25"/>
  <c r="A37" i="25"/>
  <c r="O36" i="25"/>
  <c r="A36" i="25"/>
  <c r="O35" i="25"/>
  <c r="A35" i="25"/>
  <c r="O34" i="25"/>
  <c r="A34" i="25"/>
  <c r="O33" i="25"/>
  <c r="A33" i="25"/>
  <c r="O32" i="25"/>
  <c r="A32" i="25"/>
  <c r="O31" i="25"/>
  <c r="A31" i="25"/>
  <c r="O30" i="25"/>
  <c r="A30" i="25"/>
  <c r="O29" i="25"/>
  <c r="A29" i="25"/>
  <c r="O28" i="25"/>
  <c r="A28" i="25"/>
  <c r="O27" i="25"/>
  <c r="A27" i="25"/>
  <c r="O26" i="25"/>
  <c r="A26" i="25"/>
  <c r="O25" i="25"/>
  <c r="A25" i="25"/>
  <c r="O24" i="25"/>
  <c r="A24" i="25"/>
  <c r="O23" i="25"/>
  <c r="A23" i="25"/>
  <c r="F55" i="24"/>
  <c r="D55" i="24"/>
  <c r="B55" i="24"/>
  <c r="C55" i="24" s="1"/>
  <c r="E55" i="24" s="1"/>
  <c r="J55" i="24" s="1"/>
  <c r="F54" i="24"/>
  <c r="D54" i="24"/>
  <c r="B54" i="24"/>
  <c r="C54" i="24" s="1"/>
  <c r="E54" i="24" s="1"/>
  <c r="J54" i="24" s="1"/>
  <c r="F53" i="24"/>
  <c r="D53" i="24"/>
  <c r="B53" i="24"/>
  <c r="C53" i="24" s="1"/>
  <c r="E53" i="24" s="1"/>
  <c r="J53" i="24" s="1"/>
  <c r="F52" i="24"/>
  <c r="D52" i="24"/>
  <c r="B52" i="24"/>
  <c r="C52" i="24" s="1"/>
  <c r="E52" i="24" s="1"/>
  <c r="J52" i="24" s="1"/>
  <c r="F51" i="24"/>
  <c r="D51" i="24"/>
  <c r="B51" i="24"/>
  <c r="C51" i="24" s="1"/>
  <c r="E51" i="24" s="1"/>
  <c r="J51" i="24" s="1"/>
  <c r="F50" i="24"/>
  <c r="D50" i="24"/>
  <c r="B50" i="24"/>
  <c r="C50" i="24" s="1"/>
  <c r="E50" i="24" s="1"/>
  <c r="J50" i="24" s="1"/>
  <c r="F49" i="24"/>
  <c r="D49" i="24"/>
  <c r="B49" i="24"/>
  <c r="C49" i="24" s="1"/>
  <c r="E49" i="24" s="1"/>
  <c r="J49" i="24" s="1"/>
  <c r="F48" i="24"/>
  <c r="D48" i="24"/>
  <c r="B48" i="24"/>
  <c r="C48" i="24" s="1"/>
  <c r="E48" i="24" s="1"/>
  <c r="J48" i="24" s="1"/>
  <c r="F47" i="24"/>
  <c r="D47" i="24"/>
  <c r="B47" i="24"/>
  <c r="C47" i="24" s="1"/>
  <c r="E47" i="24" s="1"/>
  <c r="J47" i="24" s="1"/>
  <c r="F46" i="24"/>
  <c r="D46" i="24"/>
  <c r="B46" i="24"/>
  <c r="C46" i="24" s="1"/>
  <c r="E46" i="24" s="1"/>
  <c r="J46" i="24" s="1"/>
  <c r="F45" i="24"/>
  <c r="D45" i="24"/>
  <c r="B45" i="24"/>
  <c r="C45" i="24" s="1"/>
  <c r="E45" i="24" s="1"/>
  <c r="J45" i="24" s="1"/>
  <c r="F44" i="24"/>
  <c r="D44" i="24"/>
  <c r="B44" i="24"/>
  <c r="C44" i="24" s="1"/>
  <c r="E44" i="24" s="1"/>
  <c r="J44" i="24" s="1"/>
  <c r="F43" i="24"/>
  <c r="D43" i="24"/>
  <c r="B43" i="24"/>
  <c r="C43" i="24" s="1"/>
  <c r="E43" i="24" s="1"/>
  <c r="J43" i="24" s="1"/>
  <c r="F42" i="24"/>
  <c r="D42" i="24"/>
  <c r="B42" i="24"/>
  <c r="C42" i="24" s="1"/>
  <c r="E42" i="24" s="1"/>
  <c r="J42" i="24" s="1"/>
  <c r="F41" i="24"/>
  <c r="D41" i="24"/>
  <c r="B41" i="24"/>
  <c r="C41" i="24" s="1"/>
  <c r="E41" i="24" s="1"/>
  <c r="J41" i="24" s="1"/>
  <c r="O37" i="24"/>
  <c r="A37" i="24"/>
  <c r="O36" i="24"/>
  <c r="A36" i="24"/>
  <c r="O35" i="24"/>
  <c r="A35" i="24"/>
  <c r="O34" i="24"/>
  <c r="A34" i="24"/>
  <c r="O33" i="24"/>
  <c r="A33" i="24"/>
  <c r="O32" i="24"/>
  <c r="A32" i="24"/>
  <c r="O31" i="24"/>
  <c r="A31" i="24"/>
  <c r="O30" i="24"/>
  <c r="A30" i="24"/>
  <c r="O29" i="24"/>
  <c r="A29" i="24"/>
  <c r="O28" i="24"/>
  <c r="A28" i="24"/>
  <c r="O27" i="24"/>
  <c r="A27" i="24"/>
  <c r="O26" i="24"/>
  <c r="A26" i="24"/>
  <c r="O25" i="24"/>
  <c r="A25" i="24"/>
  <c r="O24" i="24"/>
  <c r="A24" i="24"/>
  <c r="O23" i="24"/>
  <c r="A23" i="24"/>
  <c r="F55" i="23"/>
  <c r="D55" i="23"/>
  <c r="B55" i="23"/>
  <c r="C55" i="23" s="1"/>
  <c r="E55" i="23" s="1"/>
  <c r="J55" i="23" s="1"/>
  <c r="F54" i="23"/>
  <c r="D54" i="23"/>
  <c r="B54" i="23"/>
  <c r="C54" i="23" s="1"/>
  <c r="E54" i="23" s="1"/>
  <c r="J54" i="23" s="1"/>
  <c r="F53" i="23"/>
  <c r="D53" i="23"/>
  <c r="B53" i="23"/>
  <c r="C53" i="23" s="1"/>
  <c r="E53" i="23" s="1"/>
  <c r="J53" i="23" s="1"/>
  <c r="F52" i="23"/>
  <c r="D52" i="23"/>
  <c r="B52" i="23"/>
  <c r="C52" i="23" s="1"/>
  <c r="E52" i="23" s="1"/>
  <c r="J52" i="23" s="1"/>
  <c r="F51" i="23"/>
  <c r="D51" i="23"/>
  <c r="B51" i="23"/>
  <c r="C51" i="23" s="1"/>
  <c r="E51" i="23" s="1"/>
  <c r="J51" i="23" s="1"/>
  <c r="F50" i="23"/>
  <c r="D50" i="23"/>
  <c r="B50" i="23"/>
  <c r="C50" i="23" s="1"/>
  <c r="E50" i="23" s="1"/>
  <c r="J50" i="23" s="1"/>
  <c r="F49" i="23"/>
  <c r="D49" i="23"/>
  <c r="B49" i="23"/>
  <c r="C49" i="23" s="1"/>
  <c r="E49" i="23" s="1"/>
  <c r="J49" i="23" s="1"/>
  <c r="F48" i="23"/>
  <c r="D48" i="23"/>
  <c r="B48" i="23"/>
  <c r="C48" i="23" s="1"/>
  <c r="E48" i="23" s="1"/>
  <c r="J48" i="23" s="1"/>
  <c r="F47" i="23"/>
  <c r="D47" i="23"/>
  <c r="B47" i="23"/>
  <c r="C47" i="23" s="1"/>
  <c r="E47" i="23" s="1"/>
  <c r="J47" i="23" s="1"/>
  <c r="F46" i="23"/>
  <c r="D46" i="23"/>
  <c r="B46" i="23"/>
  <c r="C46" i="23" s="1"/>
  <c r="E46" i="23" s="1"/>
  <c r="J46" i="23" s="1"/>
  <c r="F45" i="23"/>
  <c r="D45" i="23"/>
  <c r="B45" i="23"/>
  <c r="C45" i="23" s="1"/>
  <c r="E45" i="23" s="1"/>
  <c r="J45" i="23" s="1"/>
  <c r="F44" i="23"/>
  <c r="D44" i="23"/>
  <c r="B44" i="23"/>
  <c r="C44" i="23" s="1"/>
  <c r="E44" i="23" s="1"/>
  <c r="J44" i="23" s="1"/>
  <c r="F43" i="23"/>
  <c r="D43" i="23"/>
  <c r="B43" i="23"/>
  <c r="C43" i="23" s="1"/>
  <c r="E43" i="23" s="1"/>
  <c r="J43" i="23" s="1"/>
  <c r="F42" i="23"/>
  <c r="D42" i="23"/>
  <c r="B42" i="23"/>
  <c r="C42" i="23" s="1"/>
  <c r="E42" i="23" s="1"/>
  <c r="J42" i="23" s="1"/>
  <c r="F41" i="23"/>
  <c r="D41" i="23"/>
  <c r="B41" i="23"/>
  <c r="C41" i="23" s="1"/>
  <c r="E41" i="23" s="1"/>
  <c r="J41" i="23" s="1"/>
  <c r="O37" i="23"/>
  <c r="A37" i="23"/>
  <c r="O36" i="23"/>
  <c r="A36" i="23"/>
  <c r="O35" i="23"/>
  <c r="A35" i="23"/>
  <c r="O34" i="23"/>
  <c r="A34" i="23"/>
  <c r="O33" i="23"/>
  <c r="A33" i="23"/>
  <c r="O32" i="23"/>
  <c r="A32" i="23"/>
  <c r="O31" i="23"/>
  <c r="A31" i="23"/>
  <c r="O30" i="23"/>
  <c r="A30" i="23"/>
  <c r="O29" i="23"/>
  <c r="A29" i="23"/>
  <c r="O28" i="23"/>
  <c r="A28" i="23"/>
  <c r="O27" i="23"/>
  <c r="A27" i="23"/>
  <c r="O26" i="23"/>
  <c r="A26" i="23"/>
  <c r="O25" i="23"/>
  <c r="A25" i="23"/>
  <c r="O24" i="23"/>
  <c r="A24" i="23"/>
  <c r="O23" i="23"/>
  <c r="A23" i="23"/>
  <c r="F55" i="22"/>
  <c r="D55" i="22"/>
  <c r="B55" i="22"/>
  <c r="C55" i="22" s="1"/>
  <c r="E55" i="22" s="1"/>
  <c r="J55" i="22" s="1"/>
  <c r="F54" i="22"/>
  <c r="D54" i="22"/>
  <c r="B54" i="22"/>
  <c r="C54" i="22" s="1"/>
  <c r="E54" i="22" s="1"/>
  <c r="J54" i="22" s="1"/>
  <c r="F53" i="22"/>
  <c r="D53" i="22"/>
  <c r="B53" i="22"/>
  <c r="C53" i="22" s="1"/>
  <c r="E53" i="22" s="1"/>
  <c r="J53" i="22" s="1"/>
  <c r="F52" i="22"/>
  <c r="D52" i="22"/>
  <c r="B52" i="22"/>
  <c r="C52" i="22" s="1"/>
  <c r="E52" i="22" s="1"/>
  <c r="J52" i="22" s="1"/>
  <c r="F51" i="22"/>
  <c r="D51" i="22"/>
  <c r="B51" i="22"/>
  <c r="C51" i="22" s="1"/>
  <c r="E51" i="22" s="1"/>
  <c r="J51" i="22" s="1"/>
  <c r="F50" i="22"/>
  <c r="D50" i="22"/>
  <c r="B50" i="22"/>
  <c r="C50" i="22" s="1"/>
  <c r="E50" i="22" s="1"/>
  <c r="J50" i="22" s="1"/>
  <c r="F49" i="22"/>
  <c r="D49" i="22"/>
  <c r="B49" i="22"/>
  <c r="C49" i="22" s="1"/>
  <c r="E49" i="22" s="1"/>
  <c r="J49" i="22" s="1"/>
  <c r="F48" i="22"/>
  <c r="D48" i="22"/>
  <c r="B48" i="22"/>
  <c r="C48" i="22" s="1"/>
  <c r="E48" i="22" s="1"/>
  <c r="J48" i="22" s="1"/>
  <c r="F47" i="22"/>
  <c r="D47" i="22"/>
  <c r="B47" i="22"/>
  <c r="C47" i="22" s="1"/>
  <c r="E47" i="22" s="1"/>
  <c r="J47" i="22" s="1"/>
  <c r="F46" i="22"/>
  <c r="D46" i="22"/>
  <c r="B46" i="22"/>
  <c r="C46" i="22" s="1"/>
  <c r="E46" i="22" s="1"/>
  <c r="J46" i="22" s="1"/>
  <c r="F45" i="22"/>
  <c r="D45" i="22"/>
  <c r="B45" i="22"/>
  <c r="C45" i="22" s="1"/>
  <c r="E45" i="22" s="1"/>
  <c r="J45" i="22" s="1"/>
  <c r="F44" i="22"/>
  <c r="D44" i="22"/>
  <c r="B44" i="22"/>
  <c r="C44" i="22" s="1"/>
  <c r="E44" i="22" s="1"/>
  <c r="J44" i="22" s="1"/>
  <c r="F43" i="22"/>
  <c r="D43" i="22"/>
  <c r="B43" i="22"/>
  <c r="C43" i="22" s="1"/>
  <c r="E43" i="22" s="1"/>
  <c r="J43" i="22" s="1"/>
  <c r="F42" i="22"/>
  <c r="D42" i="22"/>
  <c r="B42" i="22"/>
  <c r="C42" i="22" s="1"/>
  <c r="E42" i="22" s="1"/>
  <c r="J42" i="22" s="1"/>
  <c r="F41" i="22"/>
  <c r="D41" i="22"/>
  <c r="B41" i="22"/>
  <c r="C41" i="22" s="1"/>
  <c r="E41" i="22" s="1"/>
  <c r="J41" i="22" s="1"/>
  <c r="O37" i="22"/>
  <c r="A37" i="22"/>
  <c r="O36" i="22"/>
  <c r="A36" i="22"/>
  <c r="O35" i="22"/>
  <c r="A35" i="22"/>
  <c r="O34" i="22"/>
  <c r="A34" i="22"/>
  <c r="O33" i="22"/>
  <c r="A33" i="22"/>
  <c r="O32" i="22"/>
  <c r="A32" i="22"/>
  <c r="O31" i="22"/>
  <c r="A31" i="22"/>
  <c r="O30" i="22"/>
  <c r="A30" i="22"/>
  <c r="O29" i="22"/>
  <c r="A29" i="22"/>
  <c r="O28" i="22"/>
  <c r="A28" i="22"/>
  <c r="O27" i="22"/>
  <c r="A27" i="22"/>
  <c r="O26" i="22"/>
  <c r="A26" i="22"/>
  <c r="O25" i="22"/>
  <c r="A25" i="22"/>
  <c r="O24" i="22"/>
  <c r="A24" i="22"/>
  <c r="O23" i="22"/>
  <c r="A23" i="22"/>
  <c r="F55" i="21"/>
  <c r="D55" i="21"/>
  <c r="B55" i="21"/>
  <c r="C55" i="21" s="1"/>
  <c r="E55" i="21" s="1"/>
  <c r="J55" i="21" s="1"/>
  <c r="F54" i="21"/>
  <c r="D54" i="21"/>
  <c r="B54" i="21"/>
  <c r="C54" i="21" s="1"/>
  <c r="E54" i="21" s="1"/>
  <c r="J54" i="21" s="1"/>
  <c r="F53" i="21"/>
  <c r="D53" i="21"/>
  <c r="B53" i="21"/>
  <c r="C53" i="21" s="1"/>
  <c r="E53" i="21" s="1"/>
  <c r="J53" i="21" s="1"/>
  <c r="F52" i="21"/>
  <c r="D52" i="21"/>
  <c r="B52" i="21"/>
  <c r="C52" i="21" s="1"/>
  <c r="E52" i="21" s="1"/>
  <c r="J52" i="21" s="1"/>
  <c r="F51" i="21"/>
  <c r="D51" i="21"/>
  <c r="B51" i="21"/>
  <c r="C51" i="21" s="1"/>
  <c r="E51" i="21" s="1"/>
  <c r="J51" i="21" s="1"/>
  <c r="F50" i="21"/>
  <c r="D50" i="21"/>
  <c r="B50" i="21"/>
  <c r="C50" i="21" s="1"/>
  <c r="E50" i="21" s="1"/>
  <c r="J50" i="21" s="1"/>
  <c r="F49" i="21"/>
  <c r="D49" i="21"/>
  <c r="B49" i="21"/>
  <c r="C49" i="21" s="1"/>
  <c r="E49" i="21" s="1"/>
  <c r="J49" i="21" s="1"/>
  <c r="F48" i="21"/>
  <c r="D48" i="21"/>
  <c r="B48" i="21"/>
  <c r="C48" i="21" s="1"/>
  <c r="E48" i="21" s="1"/>
  <c r="J48" i="21" s="1"/>
  <c r="F47" i="21"/>
  <c r="D47" i="21"/>
  <c r="B47" i="21"/>
  <c r="C47" i="21" s="1"/>
  <c r="E47" i="21" s="1"/>
  <c r="J47" i="21" s="1"/>
  <c r="F46" i="21"/>
  <c r="D46" i="21"/>
  <c r="B46" i="21"/>
  <c r="C46" i="21" s="1"/>
  <c r="E46" i="21" s="1"/>
  <c r="J46" i="21" s="1"/>
  <c r="F45" i="21"/>
  <c r="D45" i="21"/>
  <c r="B45" i="21"/>
  <c r="C45" i="21" s="1"/>
  <c r="E45" i="21" s="1"/>
  <c r="J45" i="21" s="1"/>
  <c r="F44" i="21"/>
  <c r="D44" i="21"/>
  <c r="B44" i="21"/>
  <c r="C44" i="21" s="1"/>
  <c r="E44" i="21" s="1"/>
  <c r="J44" i="21" s="1"/>
  <c r="F43" i="21"/>
  <c r="D43" i="21"/>
  <c r="B43" i="21"/>
  <c r="C43" i="21" s="1"/>
  <c r="E43" i="21" s="1"/>
  <c r="J43" i="21" s="1"/>
  <c r="F42" i="21"/>
  <c r="D42" i="21"/>
  <c r="B42" i="21"/>
  <c r="C42" i="21" s="1"/>
  <c r="E42" i="21" s="1"/>
  <c r="J42" i="21" s="1"/>
  <c r="F41" i="21"/>
  <c r="D41" i="21"/>
  <c r="B41" i="21"/>
  <c r="C41" i="21" s="1"/>
  <c r="E41" i="21" s="1"/>
  <c r="J41" i="21" s="1"/>
  <c r="O37" i="21"/>
  <c r="A37" i="21"/>
  <c r="O36" i="21"/>
  <c r="A36" i="21"/>
  <c r="O35" i="21"/>
  <c r="A35" i="21"/>
  <c r="O34" i="21"/>
  <c r="A34" i="21"/>
  <c r="O33" i="21"/>
  <c r="A33" i="21"/>
  <c r="O32" i="21"/>
  <c r="A32" i="21"/>
  <c r="O31" i="21"/>
  <c r="A31" i="21"/>
  <c r="O30" i="21"/>
  <c r="A30" i="21"/>
  <c r="O29" i="21"/>
  <c r="A29" i="21"/>
  <c r="O28" i="21"/>
  <c r="A28" i="21"/>
  <c r="O27" i="21"/>
  <c r="A27" i="21"/>
  <c r="O26" i="21"/>
  <c r="A26" i="21"/>
  <c r="O25" i="21"/>
  <c r="A25" i="21"/>
  <c r="O24" i="21"/>
  <c r="A24" i="21"/>
  <c r="O23" i="21"/>
  <c r="A23" i="21"/>
  <c r="F55" i="20"/>
  <c r="D55" i="20"/>
  <c r="B55" i="20"/>
  <c r="C55" i="20" s="1"/>
  <c r="E55" i="20" s="1"/>
  <c r="J55" i="20" s="1"/>
  <c r="F54" i="20"/>
  <c r="D54" i="20"/>
  <c r="B54" i="20"/>
  <c r="C54" i="20" s="1"/>
  <c r="E54" i="20" s="1"/>
  <c r="J54" i="20" s="1"/>
  <c r="F53" i="20"/>
  <c r="D53" i="20"/>
  <c r="B53" i="20"/>
  <c r="C53" i="20" s="1"/>
  <c r="E53" i="20" s="1"/>
  <c r="J53" i="20" s="1"/>
  <c r="F52" i="20"/>
  <c r="D52" i="20"/>
  <c r="B52" i="20"/>
  <c r="C52" i="20" s="1"/>
  <c r="E52" i="20" s="1"/>
  <c r="J52" i="20" s="1"/>
  <c r="F51" i="20"/>
  <c r="D51" i="20"/>
  <c r="B51" i="20"/>
  <c r="C51" i="20" s="1"/>
  <c r="E51" i="20" s="1"/>
  <c r="J51" i="20" s="1"/>
  <c r="F50" i="20"/>
  <c r="D50" i="20"/>
  <c r="B50" i="20"/>
  <c r="C50" i="20" s="1"/>
  <c r="E50" i="20" s="1"/>
  <c r="J50" i="20" s="1"/>
  <c r="F49" i="20"/>
  <c r="D49" i="20"/>
  <c r="B49" i="20"/>
  <c r="C49" i="20" s="1"/>
  <c r="E49" i="20" s="1"/>
  <c r="J49" i="20" s="1"/>
  <c r="F48" i="20"/>
  <c r="D48" i="20"/>
  <c r="B48" i="20"/>
  <c r="C48" i="20" s="1"/>
  <c r="E48" i="20" s="1"/>
  <c r="J48" i="20" s="1"/>
  <c r="F47" i="20"/>
  <c r="D47" i="20"/>
  <c r="B47" i="20"/>
  <c r="C47" i="20" s="1"/>
  <c r="E47" i="20" s="1"/>
  <c r="J47" i="20" s="1"/>
  <c r="F46" i="20"/>
  <c r="D46" i="20"/>
  <c r="B46" i="20"/>
  <c r="C46" i="20" s="1"/>
  <c r="E46" i="20" s="1"/>
  <c r="J46" i="20" s="1"/>
  <c r="F45" i="20"/>
  <c r="D45" i="20"/>
  <c r="B45" i="20"/>
  <c r="C45" i="20" s="1"/>
  <c r="E45" i="20" s="1"/>
  <c r="J45" i="20" s="1"/>
  <c r="F44" i="20"/>
  <c r="D44" i="20"/>
  <c r="B44" i="20"/>
  <c r="C44" i="20" s="1"/>
  <c r="E44" i="20" s="1"/>
  <c r="J44" i="20" s="1"/>
  <c r="F43" i="20"/>
  <c r="D43" i="20"/>
  <c r="B43" i="20"/>
  <c r="C43" i="20" s="1"/>
  <c r="E43" i="20" s="1"/>
  <c r="J43" i="20" s="1"/>
  <c r="F42" i="20"/>
  <c r="D42" i="20"/>
  <c r="B42" i="20"/>
  <c r="C42" i="20" s="1"/>
  <c r="E42" i="20" s="1"/>
  <c r="J42" i="20" s="1"/>
  <c r="F41" i="20"/>
  <c r="D41" i="20"/>
  <c r="B41" i="20"/>
  <c r="C41" i="20" s="1"/>
  <c r="E41" i="20" s="1"/>
  <c r="J41" i="20" s="1"/>
  <c r="O37" i="20"/>
  <c r="A37" i="20"/>
  <c r="O36" i="20"/>
  <c r="A36" i="20"/>
  <c r="O35" i="20"/>
  <c r="A35" i="20"/>
  <c r="O34" i="20"/>
  <c r="A34" i="20"/>
  <c r="O33" i="20"/>
  <c r="A33" i="20"/>
  <c r="O32" i="20"/>
  <c r="A32" i="20"/>
  <c r="O31" i="20"/>
  <c r="A31" i="20"/>
  <c r="O30" i="20"/>
  <c r="A30" i="20"/>
  <c r="O29" i="20"/>
  <c r="A29" i="20"/>
  <c r="O28" i="20"/>
  <c r="A28" i="20"/>
  <c r="O27" i="20"/>
  <c r="A27" i="20"/>
  <c r="O26" i="20"/>
  <c r="A26" i="20"/>
  <c r="O25" i="20"/>
  <c r="A25" i="20"/>
  <c r="O24" i="20"/>
  <c r="A24" i="20"/>
  <c r="O23" i="20"/>
  <c r="A23" i="20"/>
  <c r="F55" i="19"/>
  <c r="D55" i="19"/>
  <c r="B55" i="19"/>
  <c r="C55" i="19" s="1"/>
  <c r="E55" i="19" s="1"/>
  <c r="J55" i="19" s="1"/>
  <c r="F54" i="19"/>
  <c r="D54" i="19"/>
  <c r="B54" i="19"/>
  <c r="C54" i="19" s="1"/>
  <c r="E54" i="19" s="1"/>
  <c r="J54" i="19" s="1"/>
  <c r="F53" i="19"/>
  <c r="D53" i="19"/>
  <c r="B53" i="19"/>
  <c r="C53" i="19" s="1"/>
  <c r="E53" i="19" s="1"/>
  <c r="J53" i="19" s="1"/>
  <c r="F52" i="19"/>
  <c r="D52" i="19"/>
  <c r="B52" i="19"/>
  <c r="C52" i="19" s="1"/>
  <c r="E52" i="19" s="1"/>
  <c r="J52" i="19" s="1"/>
  <c r="F51" i="19"/>
  <c r="D51" i="19"/>
  <c r="B51" i="19"/>
  <c r="C51" i="19" s="1"/>
  <c r="E51" i="19" s="1"/>
  <c r="J51" i="19" s="1"/>
  <c r="F50" i="19"/>
  <c r="D50" i="19"/>
  <c r="B50" i="19"/>
  <c r="C50" i="19" s="1"/>
  <c r="E50" i="19" s="1"/>
  <c r="J50" i="19" s="1"/>
  <c r="F49" i="19"/>
  <c r="D49" i="19"/>
  <c r="B49" i="19"/>
  <c r="C49" i="19" s="1"/>
  <c r="E49" i="19" s="1"/>
  <c r="J49" i="19" s="1"/>
  <c r="F48" i="19"/>
  <c r="D48" i="19"/>
  <c r="B48" i="19"/>
  <c r="C48" i="19" s="1"/>
  <c r="E48" i="19" s="1"/>
  <c r="J48" i="19" s="1"/>
  <c r="F47" i="19"/>
  <c r="D47" i="19"/>
  <c r="B47" i="19"/>
  <c r="C47" i="19" s="1"/>
  <c r="E47" i="19" s="1"/>
  <c r="J47" i="19" s="1"/>
  <c r="F46" i="19"/>
  <c r="D46" i="19"/>
  <c r="B46" i="19"/>
  <c r="C46" i="19" s="1"/>
  <c r="E46" i="19" s="1"/>
  <c r="J46" i="19" s="1"/>
  <c r="F45" i="19"/>
  <c r="D45" i="19"/>
  <c r="B45" i="19"/>
  <c r="C45" i="19" s="1"/>
  <c r="E45" i="19" s="1"/>
  <c r="J45" i="19" s="1"/>
  <c r="F44" i="19"/>
  <c r="D44" i="19"/>
  <c r="B44" i="19"/>
  <c r="C44" i="19" s="1"/>
  <c r="E44" i="19" s="1"/>
  <c r="J44" i="19" s="1"/>
  <c r="F43" i="19"/>
  <c r="D43" i="19"/>
  <c r="B43" i="19"/>
  <c r="C43" i="19" s="1"/>
  <c r="E43" i="19" s="1"/>
  <c r="J43" i="19" s="1"/>
  <c r="F42" i="19"/>
  <c r="D42" i="19"/>
  <c r="B42" i="19"/>
  <c r="C42" i="19" s="1"/>
  <c r="E42" i="19" s="1"/>
  <c r="J42" i="19" s="1"/>
  <c r="F41" i="19"/>
  <c r="D41" i="19"/>
  <c r="B41" i="19"/>
  <c r="C41" i="19" s="1"/>
  <c r="E41" i="19" s="1"/>
  <c r="J41" i="19" s="1"/>
  <c r="O37" i="19"/>
  <c r="A37" i="19"/>
  <c r="O36" i="19"/>
  <c r="A36" i="19"/>
  <c r="O35" i="19"/>
  <c r="A35" i="19"/>
  <c r="O34" i="19"/>
  <c r="A34" i="19"/>
  <c r="O33" i="19"/>
  <c r="A33" i="19"/>
  <c r="O32" i="19"/>
  <c r="A32" i="19"/>
  <c r="O31" i="19"/>
  <c r="A31" i="19"/>
  <c r="O30" i="19"/>
  <c r="A30" i="19"/>
  <c r="O29" i="19"/>
  <c r="A29" i="19"/>
  <c r="O28" i="19"/>
  <c r="A28" i="19"/>
  <c r="O27" i="19"/>
  <c r="A27" i="19"/>
  <c r="O26" i="19"/>
  <c r="A26" i="19"/>
  <c r="O25" i="19"/>
  <c r="A25" i="19"/>
  <c r="O24" i="19"/>
  <c r="A24" i="19"/>
  <c r="O23" i="19"/>
  <c r="A23" i="19"/>
  <c r="F55" i="18"/>
  <c r="D55" i="18"/>
  <c r="B55" i="18"/>
  <c r="C55" i="18" s="1"/>
  <c r="E55" i="18" s="1"/>
  <c r="J55" i="18" s="1"/>
  <c r="F54" i="18"/>
  <c r="D54" i="18"/>
  <c r="B54" i="18"/>
  <c r="C54" i="18" s="1"/>
  <c r="E54" i="18" s="1"/>
  <c r="J54" i="18" s="1"/>
  <c r="F53" i="18"/>
  <c r="D53" i="18"/>
  <c r="B53" i="18"/>
  <c r="C53" i="18" s="1"/>
  <c r="E53" i="18" s="1"/>
  <c r="J53" i="18" s="1"/>
  <c r="F52" i="18"/>
  <c r="D52" i="18"/>
  <c r="B52" i="18"/>
  <c r="C52" i="18" s="1"/>
  <c r="E52" i="18" s="1"/>
  <c r="J52" i="18" s="1"/>
  <c r="F51" i="18"/>
  <c r="D51" i="18"/>
  <c r="B51" i="18"/>
  <c r="C51" i="18" s="1"/>
  <c r="E51" i="18" s="1"/>
  <c r="J51" i="18" s="1"/>
  <c r="F50" i="18"/>
  <c r="D50" i="18"/>
  <c r="B50" i="18"/>
  <c r="C50" i="18" s="1"/>
  <c r="E50" i="18" s="1"/>
  <c r="J50" i="18" s="1"/>
  <c r="F49" i="18"/>
  <c r="D49" i="18"/>
  <c r="B49" i="18"/>
  <c r="C49" i="18" s="1"/>
  <c r="E49" i="18" s="1"/>
  <c r="J49" i="18" s="1"/>
  <c r="F48" i="18"/>
  <c r="D48" i="18"/>
  <c r="B48" i="18"/>
  <c r="C48" i="18" s="1"/>
  <c r="E48" i="18" s="1"/>
  <c r="J48" i="18" s="1"/>
  <c r="F47" i="18"/>
  <c r="D47" i="18"/>
  <c r="B47" i="18"/>
  <c r="C47" i="18" s="1"/>
  <c r="E47" i="18" s="1"/>
  <c r="J47" i="18" s="1"/>
  <c r="F46" i="18"/>
  <c r="D46" i="18"/>
  <c r="B46" i="18"/>
  <c r="C46" i="18" s="1"/>
  <c r="E46" i="18" s="1"/>
  <c r="J46" i="18" s="1"/>
  <c r="F45" i="18"/>
  <c r="D45" i="18"/>
  <c r="B45" i="18"/>
  <c r="C45" i="18" s="1"/>
  <c r="E45" i="18" s="1"/>
  <c r="J45" i="18" s="1"/>
  <c r="F44" i="18"/>
  <c r="D44" i="18"/>
  <c r="B44" i="18"/>
  <c r="C44" i="18" s="1"/>
  <c r="E44" i="18" s="1"/>
  <c r="J44" i="18" s="1"/>
  <c r="F43" i="18"/>
  <c r="D43" i="18"/>
  <c r="B43" i="18"/>
  <c r="C43" i="18" s="1"/>
  <c r="E43" i="18" s="1"/>
  <c r="J43" i="18" s="1"/>
  <c r="F42" i="18"/>
  <c r="D42" i="18"/>
  <c r="B42" i="18"/>
  <c r="C42" i="18" s="1"/>
  <c r="E42" i="18" s="1"/>
  <c r="J42" i="18" s="1"/>
  <c r="F41" i="18"/>
  <c r="D41" i="18"/>
  <c r="B41" i="18"/>
  <c r="C41" i="18" s="1"/>
  <c r="E41" i="18" s="1"/>
  <c r="J41" i="18" s="1"/>
  <c r="O37" i="18"/>
  <c r="A37" i="18"/>
  <c r="O36" i="18"/>
  <c r="A36" i="18"/>
  <c r="O35" i="18"/>
  <c r="A35" i="18"/>
  <c r="O34" i="18"/>
  <c r="A34" i="18"/>
  <c r="O33" i="18"/>
  <c r="A33" i="18"/>
  <c r="O32" i="18"/>
  <c r="A32" i="18"/>
  <c r="O31" i="18"/>
  <c r="A31" i="18"/>
  <c r="O30" i="18"/>
  <c r="A30" i="18"/>
  <c r="O29" i="18"/>
  <c r="A29" i="18"/>
  <c r="O28" i="18"/>
  <c r="A28" i="18"/>
  <c r="O27" i="18"/>
  <c r="A27" i="18"/>
  <c r="O26" i="18"/>
  <c r="A26" i="18"/>
  <c r="O25" i="18"/>
  <c r="A25" i="18"/>
  <c r="O24" i="18"/>
  <c r="A24" i="18"/>
  <c r="O23" i="18"/>
  <c r="A23" i="18"/>
  <c r="F55" i="17"/>
  <c r="D55" i="17"/>
  <c r="B55" i="17"/>
  <c r="C55" i="17" s="1"/>
  <c r="E55" i="17" s="1"/>
  <c r="J55" i="17" s="1"/>
  <c r="F54" i="17"/>
  <c r="D54" i="17"/>
  <c r="B54" i="17"/>
  <c r="C54" i="17" s="1"/>
  <c r="E54" i="17" s="1"/>
  <c r="J54" i="17" s="1"/>
  <c r="F53" i="17"/>
  <c r="D53" i="17"/>
  <c r="B53" i="17"/>
  <c r="C53" i="17" s="1"/>
  <c r="E53" i="17" s="1"/>
  <c r="J53" i="17" s="1"/>
  <c r="F52" i="17"/>
  <c r="D52" i="17"/>
  <c r="B52" i="17"/>
  <c r="C52" i="17" s="1"/>
  <c r="E52" i="17" s="1"/>
  <c r="J52" i="17" s="1"/>
  <c r="F51" i="17"/>
  <c r="D51" i="17"/>
  <c r="B51" i="17"/>
  <c r="C51" i="17" s="1"/>
  <c r="E51" i="17" s="1"/>
  <c r="J51" i="17" s="1"/>
  <c r="F50" i="17"/>
  <c r="D50" i="17"/>
  <c r="B50" i="17"/>
  <c r="C50" i="17" s="1"/>
  <c r="E50" i="17" s="1"/>
  <c r="J50" i="17" s="1"/>
  <c r="F49" i="17"/>
  <c r="D49" i="17"/>
  <c r="B49" i="17"/>
  <c r="C49" i="17" s="1"/>
  <c r="E49" i="17" s="1"/>
  <c r="J49" i="17" s="1"/>
  <c r="F48" i="17"/>
  <c r="D48" i="17"/>
  <c r="B48" i="17"/>
  <c r="C48" i="17" s="1"/>
  <c r="E48" i="17" s="1"/>
  <c r="J48" i="17" s="1"/>
  <c r="F47" i="17"/>
  <c r="D47" i="17"/>
  <c r="B47" i="17"/>
  <c r="C47" i="17" s="1"/>
  <c r="E47" i="17" s="1"/>
  <c r="J47" i="17" s="1"/>
  <c r="F46" i="17"/>
  <c r="D46" i="17"/>
  <c r="B46" i="17"/>
  <c r="C46" i="17" s="1"/>
  <c r="E46" i="17" s="1"/>
  <c r="J46" i="17" s="1"/>
  <c r="F45" i="17"/>
  <c r="D45" i="17"/>
  <c r="B45" i="17"/>
  <c r="C45" i="17" s="1"/>
  <c r="E45" i="17" s="1"/>
  <c r="J45" i="17" s="1"/>
  <c r="F44" i="17"/>
  <c r="D44" i="17"/>
  <c r="B44" i="17"/>
  <c r="C44" i="17" s="1"/>
  <c r="E44" i="17" s="1"/>
  <c r="J44" i="17" s="1"/>
  <c r="F43" i="17"/>
  <c r="D43" i="17"/>
  <c r="B43" i="17"/>
  <c r="C43" i="17" s="1"/>
  <c r="E43" i="17" s="1"/>
  <c r="J43" i="17" s="1"/>
  <c r="F42" i="17"/>
  <c r="D42" i="17"/>
  <c r="B42" i="17"/>
  <c r="C42" i="17" s="1"/>
  <c r="E42" i="17" s="1"/>
  <c r="J42" i="17" s="1"/>
  <c r="F41" i="17"/>
  <c r="D41" i="17"/>
  <c r="B41" i="17"/>
  <c r="C41" i="17" s="1"/>
  <c r="E41" i="17" s="1"/>
  <c r="J41" i="17" s="1"/>
  <c r="O37" i="17"/>
  <c r="A37" i="17"/>
  <c r="O36" i="17"/>
  <c r="A36" i="17"/>
  <c r="O35" i="17"/>
  <c r="A35" i="17"/>
  <c r="O34" i="17"/>
  <c r="A34" i="17"/>
  <c r="O33" i="17"/>
  <c r="A33" i="17"/>
  <c r="O32" i="17"/>
  <c r="A32" i="17"/>
  <c r="O31" i="17"/>
  <c r="A31" i="17"/>
  <c r="O30" i="17"/>
  <c r="A30" i="17"/>
  <c r="O29" i="17"/>
  <c r="A29" i="17"/>
  <c r="O28" i="17"/>
  <c r="A28" i="17"/>
  <c r="O27" i="17"/>
  <c r="A27" i="17"/>
  <c r="O26" i="17"/>
  <c r="A26" i="17"/>
  <c r="O25" i="17"/>
  <c r="A25" i="17"/>
  <c r="O24" i="17"/>
  <c r="A24" i="17"/>
  <c r="O23" i="17"/>
  <c r="A23" i="17"/>
  <c r="F55" i="16"/>
  <c r="D55" i="16"/>
  <c r="B55" i="16"/>
  <c r="C55" i="16" s="1"/>
  <c r="E55" i="16" s="1"/>
  <c r="J55" i="16" s="1"/>
  <c r="F54" i="16"/>
  <c r="D54" i="16"/>
  <c r="B54" i="16"/>
  <c r="C54" i="16" s="1"/>
  <c r="E54" i="16" s="1"/>
  <c r="J54" i="16" s="1"/>
  <c r="F53" i="16"/>
  <c r="D53" i="16"/>
  <c r="B53" i="16"/>
  <c r="C53" i="16" s="1"/>
  <c r="E53" i="16" s="1"/>
  <c r="J53" i="16" s="1"/>
  <c r="F52" i="16"/>
  <c r="D52" i="16"/>
  <c r="B52" i="16"/>
  <c r="C52" i="16" s="1"/>
  <c r="E52" i="16" s="1"/>
  <c r="J52" i="16" s="1"/>
  <c r="F51" i="16"/>
  <c r="D51" i="16"/>
  <c r="B51" i="16"/>
  <c r="C51" i="16" s="1"/>
  <c r="E51" i="16" s="1"/>
  <c r="J51" i="16" s="1"/>
  <c r="F50" i="16"/>
  <c r="D50" i="16"/>
  <c r="B50" i="16"/>
  <c r="C50" i="16" s="1"/>
  <c r="E50" i="16" s="1"/>
  <c r="J50" i="16" s="1"/>
  <c r="F49" i="16"/>
  <c r="D49" i="16"/>
  <c r="B49" i="16"/>
  <c r="C49" i="16" s="1"/>
  <c r="E49" i="16" s="1"/>
  <c r="J49" i="16" s="1"/>
  <c r="F48" i="16"/>
  <c r="D48" i="16"/>
  <c r="B48" i="16"/>
  <c r="C48" i="16" s="1"/>
  <c r="E48" i="16" s="1"/>
  <c r="J48" i="16" s="1"/>
  <c r="F47" i="16"/>
  <c r="D47" i="16"/>
  <c r="B47" i="16"/>
  <c r="C47" i="16" s="1"/>
  <c r="E47" i="16" s="1"/>
  <c r="J47" i="16" s="1"/>
  <c r="F46" i="16"/>
  <c r="D46" i="16"/>
  <c r="B46" i="16"/>
  <c r="C46" i="16" s="1"/>
  <c r="E46" i="16" s="1"/>
  <c r="J46" i="16" s="1"/>
  <c r="F45" i="16"/>
  <c r="D45" i="16"/>
  <c r="B45" i="16"/>
  <c r="C45" i="16" s="1"/>
  <c r="E45" i="16" s="1"/>
  <c r="J45" i="16" s="1"/>
  <c r="F44" i="16"/>
  <c r="D44" i="16"/>
  <c r="B44" i="16"/>
  <c r="C44" i="16" s="1"/>
  <c r="E44" i="16" s="1"/>
  <c r="J44" i="16" s="1"/>
  <c r="F43" i="16"/>
  <c r="D43" i="16"/>
  <c r="B43" i="16"/>
  <c r="C43" i="16" s="1"/>
  <c r="E43" i="16" s="1"/>
  <c r="J43" i="16" s="1"/>
  <c r="F42" i="16"/>
  <c r="D42" i="16"/>
  <c r="B42" i="16"/>
  <c r="C42" i="16" s="1"/>
  <c r="E42" i="16" s="1"/>
  <c r="J42" i="16" s="1"/>
  <c r="F41" i="16"/>
  <c r="D41" i="16"/>
  <c r="B41" i="16"/>
  <c r="C41" i="16" s="1"/>
  <c r="E41" i="16" s="1"/>
  <c r="J41" i="16" s="1"/>
  <c r="O37" i="16"/>
  <c r="A37" i="16"/>
  <c r="O36" i="16"/>
  <c r="A36" i="16"/>
  <c r="O35" i="16"/>
  <c r="A35" i="16"/>
  <c r="O34" i="16"/>
  <c r="A34" i="16"/>
  <c r="O33" i="16"/>
  <c r="A33" i="16"/>
  <c r="O32" i="16"/>
  <c r="A32" i="16"/>
  <c r="O31" i="16"/>
  <c r="A31" i="16"/>
  <c r="O30" i="16"/>
  <c r="A30" i="16"/>
  <c r="O29" i="16"/>
  <c r="A29" i="16"/>
  <c r="O28" i="16"/>
  <c r="A28" i="16"/>
  <c r="O27" i="16"/>
  <c r="A27" i="16"/>
  <c r="O26" i="16"/>
  <c r="A26" i="16"/>
  <c r="O25" i="16"/>
  <c r="A25" i="16"/>
  <c r="O24" i="16"/>
  <c r="A24" i="16"/>
  <c r="O23" i="16"/>
  <c r="A23" i="16"/>
  <c r="F55" i="15"/>
  <c r="D55" i="15"/>
  <c r="B55" i="15"/>
  <c r="C55" i="15" s="1"/>
  <c r="E55" i="15" s="1"/>
  <c r="J55" i="15" s="1"/>
  <c r="F54" i="15"/>
  <c r="D54" i="15"/>
  <c r="B54" i="15"/>
  <c r="C54" i="15" s="1"/>
  <c r="E54" i="15" s="1"/>
  <c r="J54" i="15" s="1"/>
  <c r="F53" i="15"/>
  <c r="D53" i="15"/>
  <c r="B53" i="15"/>
  <c r="C53" i="15" s="1"/>
  <c r="E53" i="15" s="1"/>
  <c r="J53" i="15" s="1"/>
  <c r="F52" i="15"/>
  <c r="D52" i="15"/>
  <c r="B52" i="15"/>
  <c r="C52" i="15" s="1"/>
  <c r="E52" i="15" s="1"/>
  <c r="J52" i="15" s="1"/>
  <c r="F51" i="15"/>
  <c r="D51" i="15"/>
  <c r="B51" i="15"/>
  <c r="C51" i="15" s="1"/>
  <c r="E51" i="15" s="1"/>
  <c r="J51" i="15" s="1"/>
  <c r="F50" i="15"/>
  <c r="D50" i="15"/>
  <c r="B50" i="15"/>
  <c r="C50" i="15" s="1"/>
  <c r="E50" i="15" s="1"/>
  <c r="J50" i="15" s="1"/>
  <c r="F49" i="15"/>
  <c r="D49" i="15"/>
  <c r="B49" i="15"/>
  <c r="C49" i="15" s="1"/>
  <c r="E49" i="15" s="1"/>
  <c r="J49" i="15" s="1"/>
  <c r="F48" i="15"/>
  <c r="D48" i="15"/>
  <c r="B48" i="15"/>
  <c r="C48" i="15" s="1"/>
  <c r="E48" i="15" s="1"/>
  <c r="J48" i="15" s="1"/>
  <c r="F47" i="15"/>
  <c r="D47" i="15"/>
  <c r="B47" i="15"/>
  <c r="C47" i="15" s="1"/>
  <c r="E47" i="15" s="1"/>
  <c r="J47" i="15" s="1"/>
  <c r="F46" i="15"/>
  <c r="D46" i="15"/>
  <c r="B46" i="15"/>
  <c r="C46" i="15" s="1"/>
  <c r="E46" i="15" s="1"/>
  <c r="J46" i="15" s="1"/>
  <c r="F45" i="15"/>
  <c r="D45" i="15"/>
  <c r="B45" i="15"/>
  <c r="C45" i="15" s="1"/>
  <c r="E45" i="15" s="1"/>
  <c r="J45" i="15" s="1"/>
  <c r="F44" i="15"/>
  <c r="D44" i="15"/>
  <c r="B44" i="15"/>
  <c r="C44" i="15" s="1"/>
  <c r="E44" i="15" s="1"/>
  <c r="J44" i="15" s="1"/>
  <c r="F43" i="15"/>
  <c r="D43" i="15"/>
  <c r="B43" i="15"/>
  <c r="C43" i="15" s="1"/>
  <c r="E43" i="15" s="1"/>
  <c r="J43" i="15" s="1"/>
  <c r="F42" i="15"/>
  <c r="D42" i="15"/>
  <c r="B42" i="15"/>
  <c r="C42" i="15" s="1"/>
  <c r="E42" i="15" s="1"/>
  <c r="J42" i="15" s="1"/>
  <c r="F41" i="15"/>
  <c r="D41" i="15"/>
  <c r="B41" i="15"/>
  <c r="C41" i="15" s="1"/>
  <c r="E41" i="15" s="1"/>
  <c r="J41" i="15" s="1"/>
  <c r="O37" i="15"/>
  <c r="A37" i="15"/>
  <c r="O36" i="15"/>
  <c r="A36" i="15"/>
  <c r="O35" i="15"/>
  <c r="A35" i="15"/>
  <c r="O34" i="15"/>
  <c r="A34" i="15"/>
  <c r="O33" i="15"/>
  <c r="A33" i="15"/>
  <c r="O32" i="15"/>
  <c r="A32" i="15"/>
  <c r="O31" i="15"/>
  <c r="A31" i="15"/>
  <c r="O30" i="15"/>
  <c r="A30" i="15"/>
  <c r="O29" i="15"/>
  <c r="A29" i="15"/>
  <c r="O28" i="15"/>
  <c r="A28" i="15"/>
  <c r="O27" i="15"/>
  <c r="A27" i="15"/>
  <c r="O26" i="15"/>
  <c r="A26" i="15"/>
  <c r="O25" i="15"/>
  <c r="A25" i="15"/>
  <c r="O24" i="15"/>
  <c r="A24" i="15"/>
  <c r="O23" i="15"/>
  <c r="A23" i="15"/>
  <c r="F55" i="14"/>
  <c r="D55" i="14"/>
  <c r="B55" i="14"/>
  <c r="C55" i="14" s="1"/>
  <c r="E55" i="14" s="1"/>
  <c r="J55" i="14" s="1"/>
  <c r="F54" i="14"/>
  <c r="D54" i="14"/>
  <c r="B54" i="14"/>
  <c r="C54" i="14" s="1"/>
  <c r="E54" i="14" s="1"/>
  <c r="J54" i="14" s="1"/>
  <c r="F53" i="14"/>
  <c r="D53" i="14"/>
  <c r="B53" i="14"/>
  <c r="C53" i="14" s="1"/>
  <c r="E53" i="14" s="1"/>
  <c r="J53" i="14" s="1"/>
  <c r="F52" i="14"/>
  <c r="D52" i="14"/>
  <c r="B52" i="14"/>
  <c r="C52" i="14" s="1"/>
  <c r="E52" i="14" s="1"/>
  <c r="J52" i="14" s="1"/>
  <c r="F51" i="14"/>
  <c r="D51" i="14"/>
  <c r="B51" i="14"/>
  <c r="C51" i="14" s="1"/>
  <c r="E51" i="14" s="1"/>
  <c r="J51" i="14" s="1"/>
  <c r="F50" i="14"/>
  <c r="D50" i="14"/>
  <c r="B50" i="14"/>
  <c r="C50" i="14" s="1"/>
  <c r="E50" i="14" s="1"/>
  <c r="J50" i="14" s="1"/>
  <c r="F49" i="14"/>
  <c r="D49" i="14"/>
  <c r="B49" i="14"/>
  <c r="C49" i="14" s="1"/>
  <c r="E49" i="14" s="1"/>
  <c r="J49" i="14" s="1"/>
  <c r="F48" i="14"/>
  <c r="D48" i="14"/>
  <c r="B48" i="14"/>
  <c r="C48" i="14" s="1"/>
  <c r="E48" i="14" s="1"/>
  <c r="J48" i="14" s="1"/>
  <c r="F47" i="14"/>
  <c r="D47" i="14"/>
  <c r="B47" i="14"/>
  <c r="C47" i="14" s="1"/>
  <c r="E47" i="14" s="1"/>
  <c r="J47" i="14" s="1"/>
  <c r="F46" i="14"/>
  <c r="D46" i="14"/>
  <c r="B46" i="14"/>
  <c r="C46" i="14" s="1"/>
  <c r="E46" i="14" s="1"/>
  <c r="J46" i="14" s="1"/>
  <c r="F45" i="14"/>
  <c r="D45" i="14"/>
  <c r="B45" i="14"/>
  <c r="C45" i="14" s="1"/>
  <c r="E45" i="14" s="1"/>
  <c r="J45" i="14" s="1"/>
  <c r="F44" i="14"/>
  <c r="D44" i="14"/>
  <c r="B44" i="14"/>
  <c r="C44" i="14" s="1"/>
  <c r="E44" i="14" s="1"/>
  <c r="J44" i="14" s="1"/>
  <c r="F43" i="14"/>
  <c r="D43" i="14"/>
  <c r="B43" i="14"/>
  <c r="C43" i="14" s="1"/>
  <c r="E43" i="14" s="1"/>
  <c r="J43" i="14" s="1"/>
  <c r="F42" i="14"/>
  <c r="D42" i="14"/>
  <c r="B42" i="14"/>
  <c r="C42" i="14" s="1"/>
  <c r="E42" i="14" s="1"/>
  <c r="J42" i="14" s="1"/>
  <c r="F41" i="14"/>
  <c r="D41" i="14"/>
  <c r="B41" i="14"/>
  <c r="C41" i="14" s="1"/>
  <c r="E41" i="14" s="1"/>
  <c r="J41" i="14" s="1"/>
  <c r="O37" i="14"/>
  <c r="A37" i="14"/>
  <c r="O36" i="14"/>
  <c r="A36" i="14"/>
  <c r="O35" i="14"/>
  <c r="A35" i="14"/>
  <c r="O34" i="14"/>
  <c r="A34" i="14"/>
  <c r="O33" i="14"/>
  <c r="A33" i="14"/>
  <c r="O32" i="14"/>
  <c r="A32" i="14"/>
  <c r="O31" i="14"/>
  <c r="A31" i="14"/>
  <c r="O30" i="14"/>
  <c r="A30" i="14"/>
  <c r="O29" i="14"/>
  <c r="A29" i="14"/>
  <c r="O28" i="14"/>
  <c r="A28" i="14"/>
  <c r="O27" i="14"/>
  <c r="A27" i="14"/>
  <c r="O26" i="14"/>
  <c r="A26" i="14"/>
  <c r="O25" i="14"/>
  <c r="A25" i="14"/>
  <c r="O24" i="14"/>
  <c r="A24" i="14"/>
  <c r="O23" i="14"/>
  <c r="A23" i="14"/>
  <c r="F55" i="13"/>
  <c r="D55" i="13"/>
  <c r="B55" i="13"/>
  <c r="C55" i="13" s="1"/>
  <c r="E55" i="13" s="1"/>
  <c r="J55" i="13" s="1"/>
  <c r="F54" i="13"/>
  <c r="D54" i="13"/>
  <c r="B54" i="13"/>
  <c r="C54" i="13" s="1"/>
  <c r="E54" i="13" s="1"/>
  <c r="J54" i="13" s="1"/>
  <c r="F53" i="13"/>
  <c r="D53" i="13"/>
  <c r="B53" i="13"/>
  <c r="C53" i="13" s="1"/>
  <c r="E53" i="13" s="1"/>
  <c r="J53" i="13" s="1"/>
  <c r="F52" i="13"/>
  <c r="D52" i="13"/>
  <c r="B52" i="13"/>
  <c r="C52" i="13" s="1"/>
  <c r="E52" i="13" s="1"/>
  <c r="J52" i="13" s="1"/>
  <c r="F51" i="13"/>
  <c r="D51" i="13"/>
  <c r="B51" i="13"/>
  <c r="C51" i="13" s="1"/>
  <c r="E51" i="13" s="1"/>
  <c r="J51" i="13" s="1"/>
  <c r="F50" i="13"/>
  <c r="D50" i="13"/>
  <c r="B50" i="13"/>
  <c r="C50" i="13" s="1"/>
  <c r="E50" i="13" s="1"/>
  <c r="J50" i="13" s="1"/>
  <c r="F49" i="13"/>
  <c r="D49" i="13"/>
  <c r="B49" i="13"/>
  <c r="C49" i="13" s="1"/>
  <c r="E49" i="13" s="1"/>
  <c r="J49" i="13" s="1"/>
  <c r="F48" i="13"/>
  <c r="D48" i="13"/>
  <c r="B48" i="13"/>
  <c r="C48" i="13" s="1"/>
  <c r="E48" i="13" s="1"/>
  <c r="J48" i="13" s="1"/>
  <c r="F47" i="13"/>
  <c r="D47" i="13"/>
  <c r="B47" i="13"/>
  <c r="C47" i="13" s="1"/>
  <c r="E47" i="13" s="1"/>
  <c r="J47" i="13" s="1"/>
  <c r="F46" i="13"/>
  <c r="D46" i="13"/>
  <c r="B46" i="13"/>
  <c r="C46" i="13" s="1"/>
  <c r="E46" i="13" s="1"/>
  <c r="J46" i="13" s="1"/>
  <c r="F45" i="13"/>
  <c r="D45" i="13"/>
  <c r="B45" i="13"/>
  <c r="C45" i="13" s="1"/>
  <c r="E45" i="13" s="1"/>
  <c r="J45" i="13" s="1"/>
  <c r="F44" i="13"/>
  <c r="D44" i="13"/>
  <c r="B44" i="13"/>
  <c r="C44" i="13" s="1"/>
  <c r="E44" i="13" s="1"/>
  <c r="J44" i="13" s="1"/>
  <c r="F43" i="13"/>
  <c r="D43" i="13"/>
  <c r="B43" i="13"/>
  <c r="C43" i="13" s="1"/>
  <c r="E43" i="13" s="1"/>
  <c r="J43" i="13" s="1"/>
  <c r="F42" i="13"/>
  <c r="D42" i="13"/>
  <c r="B42" i="13"/>
  <c r="C42" i="13" s="1"/>
  <c r="E42" i="13" s="1"/>
  <c r="J42" i="13" s="1"/>
  <c r="F41" i="13"/>
  <c r="D41" i="13"/>
  <c r="B41" i="13"/>
  <c r="C41" i="13" s="1"/>
  <c r="E41" i="13" s="1"/>
  <c r="J41" i="13" s="1"/>
  <c r="O37" i="13"/>
  <c r="A37" i="13"/>
  <c r="O36" i="13"/>
  <c r="A36" i="13"/>
  <c r="O35" i="13"/>
  <c r="A35" i="13"/>
  <c r="O34" i="13"/>
  <c r="A34" i="13"/>
  <c r="O33" i="13"/>
  <c r="A33" i="13"/>
  <c r="O32" i="13"/>
  <c r="A32" i="13"/>
  <c r="O31" i="13"/>
  <c r="A31" i="13"/>
  <c r="O30" i="13"/>
  <c r="A30" i="13"/>
  <c r="O29" i="13"/>
  <c r="A29" i="13"/>
  <c r="O28" i="13"/>
  <c r="A28" i="13"/>
  <c r="O27" i="13"/>
  <c r="A27" i="13"/>
  <c r="O26" i="13"/>
  <c r="A26" i="13"/>
  <c r="O25" i="13"/>
  <c r="A25" i="13"/>
  <c r="O24" i="13"/>
  <c r="A24" i="13"/>
  <c r="O23" i="13"/>
  <c r="A23" i="13"/>
  <c r="F55" i="12"/>
  <c r="D55" i="12"/>
  <c r="B55" i="12"/>
  <c r="C55" i="12" s="1"/>
  <c r="E55" i="12" s="1"/>
  <c r="J55" i="12" s="1"/>
  <c r="F54" i="12"/>
  <c r="D54" i="12"/>
  <c r="B54" i="12"/>
  <c r="C54" i="12" s="1"/>
  <c r="E54" i="12" s="1"/>
  <c r="J54" i="12" s="1"/>
  <c r="F53" i="12"/>
  <c r="D53" i="12"/>
  <c r="B53" i="12"/>
  <c r="C53" i="12" s="1"/>
  <c r="E53" i="12" s="1"/>
  <c r="J53" i="12" s="1"/>
  <c r="F52" i="12"/>
  <c r="D52" i="12"/>
  <c r="B52" i="12"/>
  <c r="C52" i="12" s="1"/>
  <c r="E52" i="12" s="1"/>
  <c r="J52" i="12" s="1"/>
  <c r="F51" i="12"/>
  <c r="D51" i="12"/>
  <c r="B51" i="12"/>
  <c r="C51" i="12" s="1"/>
  <c r="E51" i="12" s="1"/>
  <c r="J51" i="12" s="1"/>
  <c r="F50" i="12"/>
  <c r="D50" i="12"/>
  <c r="B50" i="12"/>
  <c r="C50" i="12" s="1"/>
  <c r="E50" i="12" s="1"/>
  <c r="J50" i="12" s="1"/>
  <c r="F49" i="12"/>
  <c r="D49" i="12"/>
  <c r="B49" i="12"/>
  <c r="C49" i="12" s="1"/>
  <c r="E49" i="12" s="1"/>
  <c r="J49" i="12" s="1"/>
  <c r="F48" i="12"/>
  <c r="D48" i="12"/>
  <c r="B48" i="12"/>
  <c r="C48" i="12" s="1"/>
  <c r="E48" i="12" s="1"/>
  <c r="J48" i="12" s="1"/>
  <c r="F47" i="12"/>
  <c r="D47" i="12"/>
  <c r="B47" i="12"/>
  <c r="C47" i="12" s="1"/>
  <c r="E47" i="12" s="1"/>
  <c r="J47" i="12" s="1"/>
  <c r="F46" i="12"/>
  <c r="D46" i="12"/>
  <c r="B46" i="12"/>
  <c r="C46" i="12" s="1"/>
  <c r="E46" i="12" s="1"/>
  <c r="J46" i="12" s="1"/>
  <c r="F45" i="12"/>
  <c r="D45" i="12"/>
  <c r="B45" i="12"/>
  <c r="C45" i="12" s="1"/>
  <c r="E45" i="12" s="1"/>
  <c r="J45" i="12" s="1"/>
  <c r="F44" i="12"/>
  <c r="D44" i="12"/>
  <c r="B44" i="12"/>
  <c r="C44" i="12" s="1"/>
  <c r="E44" i="12" s="1"/>
  <c r="J44" i="12" s="1"/>
  <c r="F43" i="12"/>
  <c r="D43" i="12"/>
  <c r="B43" i="12"/>
  <c r="C43" i="12" s="1"/>
  <c r="E43" i="12" s="1"/>
  <c r="J43" i="12" s="1"/>
  <c r="F42" i="12"/>
  <c r="D42" i="12"/>
  <c r="B42" i="12"/>
  <c r="C42" i="12" s="1"/>
  <c r="E42" i="12" s="1"/>
  <c r="J42" i="12" s="1"/>
  <c r="F41" i="12"/>
  <c r="D41" i="12"/>
  <c r="B41" i="12"/>
  <c r="C41" i="12" s="1"/>
  <c r="E41" i="12" s="1"/>
  <c r="J41" i="12" s="1"/>
  <c r="O37" i="12"/>
  <c r="A37" i="12"/>
  <c r="O36" i="12"/>
  <c r="A36" i="12"/>
  <c r="O35" i="12"/>
  <c r="A35" i="12"/>
  <c r="O34" i="12"/>
  <c r="A34" i="12"/>
  <c r="O33" i="12"/>
  <c r="A33" i="12"/>
  <c r="O32" i="12"/>
  <c r="A32" i="12"/>
  <c r="O31" i="12"/>
  <c r="A31" i="12"/>
  <c r="O30" i="12"/>
  <c r="A30" i="12"/>
  <c r="O29" i="12"/>
  <c r="A29" i="12"/>
  <c r="O28" i="12"/>
  <c r="A28" i="12"/>
  <c r="O27" i="12"/>
  <c r="A27" i="12"/>
  <c r="O26" i="12"/>
  <c r="A26" i="12"/>
  <c r="O25" i="12"/>
  <c r="A25" i="12"/>
  <c r="O24" i="12"/>
  <c r="A24" i="12"/>
  <c r="O23" i="12"/>
  <c r="A23" i="12"/>
  <c r="F55" i="11"/>
  <c r="D55" i="11"/>
  <c r="B55" i="11"/>
  <c r="C55" i="11" s="1"/>
  <c r="E55" i="11" s="1"/>
  <c r="J55" i="11" s="1"/>
  <c r="F54" i="11"/>
  <c r="D54" i="11"/>
  <c r="B54" i="11"/>
  <c r="C54" i="11" s="1"/>
  <c r="E54" i="11" s="1"/>
  <c r="J54" i="11" s="1"/>
  <c r="F53" i="11"/>
  <c r="D53" i="11"/>
  <c r="B53" i="11"/>
  <c r="C53" i="11" s="1"/>
  <c r="E53" i="11" s="1"/>
  <c r="J53" i="11" s="1"/>
  <c r="F52" i="11"/>
  <c r="D52" i="11"/>
  <c r="B52" i="11"/>
  <c r="C52" i="11" s="1"/>
  <c r="E52" i="11" s="1"/>
  <c r="J52" i="11" s="1"/>
  <c r="F51" i="11"/>
  <c r="D51" i="11"/>
  <c r="B51" i="11"/>
  <c r="C51" i="11" s="1"/>
  <c r="E51" i="11" s="1"/>
  <c r="J51" i="11" s="1"/>
  <c r="F50" i="11"/>
  <c r="D50" i="11"/>
  <c r="B50" i="11"/>
  <c r="C50" i="11" s="1"/>
  <c r="E50" i="11" s="1"/>
  <c r="J50" i="11" s="1"/>
  <c r="F49" i="11"/>
  <c r="D49" i="11"/>
  <c r="B49" i="11"/>
  <c r="C49" i="11" s="1"/>
  <c r="E49" i="11" s="1"/>
  <c r="J49" i="11" s="1"/>
  <c r="F48" i="11"/>
  <c r="D48" i="11"/>
  <c r="B48" i="11"/>
  <c r="C48" i="11" s="1"/>
  <c r="E48" i="11" s="1"/>
  <c r="J48" i="11" s="1"/>
  <c r="F47" i="11"/>
  <c r="D47" i="11"/>
  <c r="B47" i="11"/>
  <c r="C47" i="11" s="1"/>
  <c r="E47" i="11" s="1"/>
  <c r="J47" i="11" s="1"/>
  <c r="F46" i="11"/>
  <c r="D46" i="11"/>
  <c r="B46" i="11"/>
  <c r="C46" i="11" s="1"/>
  <c r="E46" i="11" s="1"/>
  <c r="J46" i="11" s="1"/>
  <c r="F45" i="11"/>
  <c r="D45" i="11"/>
  <c r="B45" i="11"/>
  <c r="C45" i="11" s="1"/>
  <c r="E45" i="11" s="1"/>
  <c r="J45" i="11" s="1"/>
  <c r="F44" i="11"/>
  <c r="D44" i="11"/>
  <c r="B44" i="11"/>
  <c r="C44" i="11" s="1"/>
  <c r="E44" i="11" s="1"/>
  <c r="J44" i="11" s="1"/>
  <c r="F43" i="11"/>
  <c r="D43" i="11"/>
  <c r="B43" i="11"/>
  <c r="C43" i="11" s="1"/>
  <c r="E43" i="11" s="1"/>
  <c r="J43" i="11" s="1"/>
  <c r="F42" i="11"/>
  <c r="D42" i="11"/>
  <c r="B42" i="11"/>
  <c r="C42" i="11" s="1"/>
  <c r="E42" i="11" s="1"/>
  <c r="J42" i="11" s="1"/>
  <c r="F41" i="11"/>
  <c r="D41" i="11"/>
  <c r="B41" i="11"/>
  <c r="C41" i="11" s="1"/>
  <c r="E41" i="11" s="1"/>
  <c r="J41" i="11" s="1"/>
  <c r="O37" i="11"/>
  <c r="A37" i="11"/>
  <c r="O36" i="11"/>
  <c r="A36" i="11"/>
  <c r="O35" i="11"/>
  <c r="A35" i="11"/>
  <c r="O34" i="11"/>
  <c r="A34" i="11"/>
  <c r="O33" i="11"/>
  <c r="A33" i="11"/>
  <c r="O32" i="11"/>
  <c r="A32" i="11"/>
  <c r="O31" i="11"/>
  <c r="A31" i="11"/>
  <c r="O30" i="11"/>
  <c r="A30" i="11"/>
  <c r="O29" i="11"/>
  <c r="A29" i="11"/>
  <c r="O28" i="11"/>
  <c r="A28" i="11"/>
  <c r="O27" i="11"/>
  <c r="A27" i="11"/>
  <c r="O26" i="11"/>
  <c r="A26" i="11"/>
  <c r="O25" i="11"/>
  <c r="A25" i="11"/>
  <c r="O24" i="11"/>
  <c r="A24" i="11"/>
  <c r="O23" i="11"/>
  <c r="A23" i="11"/>
  <c r="F55" i="10"/>
  <c r="D55" i="10"/>
  <c r="B55" i="10"/>
  <c r="C55" i="10" s="1"/>
  <c r="E55" i="10" s="1"/>
  <c r="J55" i="10" s="1"/>
  <c r="F54" i="10"/>
  <c r="D54" i="10"/>
  <c r="B54" i="10"/>
  <c r="C54" i="10" s="1"/>
  <c r="E54" i="10" s="1"/>
  <c r="J54" i="10" s="1"/>
  <c r="F53" i="10"/>
  <c r="D53" i="10"/>
  <c r="B53" i="10"/>
  <c r="C53" i="10" s="1"/>
  <c r="E53" i="10" s="1"/>
  <c r="J53" i="10" s="1"/>
  <c r="F52" i="10"/>
  <c r="D52" i="10"/>
  <c r="B52" i="10"/>
  <c r="C52" i="10" s="1"/>
  <c r="E52" i="10" s="1"/>
  <c r="J52" i="10" s="1"/>
  <c r="F51" i="10"/>
  <c r="D51" i="10"/>
  <c r="B51" i="10"/>
  <c r="C51" i="10" s="1"/>
  <c r="E51" i="10" s="1"/>
  <c r="J51" i="10" s="1"/>
  <c r="F50" i="10"/>
  <c r="D50" i="10"/>
  <c r="B50" i="10"/>
  <c r="C50" i="10" s="1"/>
  <c r="E50" i="10" s="1"/>
  <c r="J50" i="10" s="1"/>
  <c r="F49" i="10"/>
  <c r="D49" i="10"/>
  <c r="B49" i="10"/>
  <c r="C49" i="10" s="1"/>
  <c r="E49" i="10" s="1"/>
  <c r="J49" i="10" s="1"/>
  <c r="F48" i="10"/>
  <c r="D48" i="10"/>
  <c r="B48" i="10"/>
  <c r="C48" i="10" s="1"/>
  <c r="E48" i="10" s="1"/>
  <c r="J48" i="10" s="1"/>
  <c r="F47" i="10"/>
  <c r="D47" i="10"/>
  <c r="B47" i="10"/>
  <c r="C47" i="10" s="1"/>
  <c r="E47" i="10" s="1"/>
  <c r="J47" i="10" s="1"/>
  <c r="F46" i="10"/>
  <c r="D46" i="10"/>
  <c r="B46" i="10"/>
  <c r="C46" i="10" s="1"/>
  <c r="E46" i="10" s="1"/>
  <c r="J46" i="10" s="1"/>
  <c r="F45" i="10"/>
  <c r="D45" i="10"/>
  <c r="B45" i="10"/>
  <c r="C45" i="10" s="1"/>
  <c r="E45" i="10" s="1"/>
  <c r="J45" i="10" s="1"/>
  <c r="F44" i="10"/>
  <c r="D44" i="10"/>
  <c r="B44" i="10"/>
  <c r="C44" i="10" s="1"/>
  <c r="E44" i="10" s="1"/>
  <c r="J44" i="10" s="1"/>
  <c r="F43" i="10"/>
  <c r="D43" i="10"/>
  <c r="B43" i="10"/>
  <c r="C43" i="10" s="1"/>
  <c r="E43" i="10" s="1"/>
  <c r="J43" i="10" s="1"/>
  <c r="F42" i="10"/>
  <c r="D42" i="10"/>
  <c r="B42" i="10"/>
  <c r="C42" i="10" s="1"/>
  <c r="E42" i="10" s="1"/>
  <c r="J42" i="10" s="1"/>
  <c r="F41" i="10"/>
  <c r="D41" i="10"/>
  <c r="B41" i="10"/>
  <c r="C41" i="10" s="1"/>
  <c r="E41" i="10" s="1"/>
  <c r="J41" i="10" s="1"/>
  <c r="O37" i="10"/>
  <c r="A37" i="10"/>
  <c r="O36" i="10"/>
  <c r="A36" i="10"/>
  <c r="O35" i="10"/>
  <c r="A35" i="10"/>
  <c r="O34" i="10"/>
  <c r="A34" i="10"/>
  <c r="O33" i="10"/>
  <c r="A33" i="10"/>
  <c r="O32" i="10"/>
  <c r="A32" i="10"/>
  <c r="O31" i="10"/>
  <c r="A31" i="10"/>
  <c r="O30" i="10"/>
  <c r="A30" i="10"/>
  <c r="O29" i="10"/>
  <c r="A29" i="10"/>
  <c r="O28" i="10"/>
  <c r="A28" i="10"/>
  <c r="O27" i="10"/>
  <c r="A27" i="10"/>
  <c r="O26" i="10"/>
  <c r="A26" i="10"/>
  <c r="O25" i="10"/>
  <c r="A25" i="10"/>
  <c r="O24" i="10"/>
  <c r="A24" i="10"/>
  <c r="O23" i="10"/>
  <c r="A23" i="10"/>
  <c r="F55" i="9"/>
  <c r="D55" i="9"/>
  <c r="B55" i="9"/>
  <c r="C55" i="9" s="1"/>
  <c r="E55" i="9" s="1"/>
  <c r="J55" i="9" s="1"/>
  <c r="F54" i="9"/>
  <c r="D54" i="9"/>
  <c r="B54" i="9"/>
  <c r="C54" i="9" s="1"/>
  <c r="E54" i="9" s="1"/>
  <c r="J54" i="9" s="1"/>
  <c r="F53" i="9"/>
  <c r="D53" i="9"/>
  <c r="B53" i="9"/>
  <c r="C53" i="9" s="1"/>
  <c r="E53" i="9" s="1"/>
  <c r="J53" i="9" s="1"/>
  <c r="F52" i="9"/>
  <c r="D52" i="9"/>
  <c r="B52" i="9"/>
  <c r="C52" i="9" s="1"/>
  <c r="E52" i="9" s="1"/>
  <c r="J52" i="9" s="1"/>
  <c r="F51" i="9"/>
  <c r="D51" i="9"/>
  <c r="B51" i="9"/>
  <c r="C51" i="9" s="1"/>
  <c r="E51" i="9" s="1"/>
  <c r="J51" i="9" s="1"/>
  <c r="F50" i="9"/>
  <c r="D50" i="9"/>
  <c r="B50" i="9"/>
  <c r="C50" i="9" s="1"/>
  <c r="E50" i="9" s="1"/>
  <c r="J50" i="9" s="1"/>
  <c r="F49" i="9"/>
  <c r="D49" i="9"/>
  <c r="B49" i="9"/>
  <c r="C49" i="9" s="1"/>
  <c r="E49" i="9" s="1"/>
  <c r="J49" i="9" s="1"/>
  <c r="F48" i="9"/>
  <c r="D48" i="9"/>
  <c r="B48" i="9"/>
  <c r="C48" i="9" s="1"/>
  <c r="E48" i="9" s="1"/>
  <c r="J48" i="9" s="1"/>
  <c r="F47" i="9"/>
  <c r="D47" i="9"/>
  <c r="B47" i="9"/>
  <c r="C47" i="9" s="1"/>
  <c r="E47" i="9" s="1"/>
  <c r="J47" i="9" s="1"/>
  <c r="F46" i="9"/>
  <c r="D46" i="9"/>
  <c r="B46" i="9"/>
  <c r="C46" i="9" s="1"/>
  <c r="E46" i="9" s="1"/>
  <c r="J46" i="9" s="1"/>
  <c r="F45" i="9"/>
  <c r="D45" i="9"/>
  <c r="B45" i="9"/>
  <c r="C45" i="9" s="1"/>
  <c r="E45" i="9" s="1"/>
  <c r="J45" i="9" s="1"/>
  <c r="F44" i="9"/>
  <c r="D44" i="9"/>
  <c r="B44" i="9"/>
  <c r="C44" i="9" s="1"/>
  <c r="E44" i="9" s="1"/>
  <c r="J44" i="9" s="1"/>
  <c r="F43" i="9"/>
  <c r="D43" i="9"/>
  <c r="B43" i="9"/>
  <c r="C43" i="9" s="1"/>
  <c r="E43" i="9" s="1"/>
  <c r="J43" i="9" s="1"/>
  <c r="F42" i="9"/>
  <c r="D42" i="9"/>
  <c r="B42" i="9"/>
  <c r="C42" i="9" s="1"/>
  <c r="E42" i="9" s="1"/>
  <c r="J42" i="9" s="1"/>
  <c r="F41" i="9"/>
  <c r="D41" i="9"/>
  <c r="B41" i="9"/>
  <c r="C41" i="9" s="1"/>
  <c r="E41" i="9" s="1"/>
  <c r="J41" i="9" s="1"/>
  <c r="O37" i="9"/>
  <c r="A37" i="9"/>
  <c r="O36" i="9"/>
  <c r="A36" i="9"/>
  <c r="O35" i="9"/>
  <c r="A35" i="9"/>
  <c r="O34" i="9"/>
  <c r="A34" i="9"/>
  <c r="O33" i="9"/>
  <c r="A33" i="9"/>
  <c r="O32" i="9"/>
  <c r="A32" i="9"/>
  <c r="O31" i="9"/>
  <c r="A31" i="9"/>
  <c r="O30" i="9"/>
  <c r="A30" i="9"/>
  <c r="O29" i="9"/>
  <c r="A29" i="9"/>
  <c r="O28" i="9"/>
  <c r="A28" i="9"/>
  <c r="O27" i="9"/>
  <c r="A27" i="9"/>
  <c r="O26" i="9"/>
  <c r="A26" i="9"/>
  <c r="O25" i="9"/>
  <c r="A25" i="9"/>
  <c r="O24" i="9"/>
  <c r="A24" i="9"/>
  <c r="O23" i="9"/>
  <c r="A23" i="9"/>
  <c r="F55" i="8"/>
  <c r="D55" i="8"/>
  <c r="B55" i="8"/>
  <c r="C55" i="8" s="1"/>
  <c r="E55" i="8" s="1"/>
  <c r="J55" i="8" s="1"/>
  <c r="F54" i="8"/>
  <c r="D54" i="8"/>
  <c r="B54" i="8"/>
  <c r="C54" i="8" s="1"/>
  <c r="E54" i="8" s="1"/>
  <c r="J54" i="8" s="1"/>
  <c r="F53" i="8"/>
  <c r="D53" i="8"/>
  <c r="B53" i="8"/>
  <c r="C53" i="8" s="1"/>
  <c r="E53" i="8" s="1"/>
  <c r="J53" i="8" s="1"/>
  <c r="F52" i="8"/>
  <c r="D52" i="8"/>
  <c r="B52" i="8"/>
  <c r="C52" i="8" s="1"/>
  <c r="E52" i="8" s="1"/>
  <c r="J52" i="8" s="1"/>
  <c r="F51" i="8"/>
  <c r="D51" i="8"/>
  <c r="B51" i="8"/>
  <c r="C51" i="8" s="1"/>
  <c r="E51" i="8" s="1"/>
  <c r="J51" i="8" s="1"/>
  <c r="F50" i="8"/>
  <c r="D50" i="8"/>
  <c r="B50" i="8"/>
  <c r="C50" i="8" s="1"/>
  <c r="E50" i="8" s="1"/>
  <c r="J50" i="8" s="1"/>
  <c r="F49" i="8"/>
  <c r="D49" i="8"/>
  <c r="B49" i="8"/>
  <c r="C49" i="8" s="1"/>
  <c r="E49" i="8" s="1"/>
  <c r="J49" i="8" s="1"/>
  <c r="F48" i="8"/>
  <c r="D48" i="8"/>
  <c r="B48" i="8"/>
  <c r="C48" i="8" s="1"/>
  <c r="E48" i="8" s="1"/>
  <c r="J48" i="8" s="1"/>
  <c r="F47" i="8"/>
  <c r="D47" i="8"/>
  <c r="B47" i="8"/>
  <c r="C47" i="8" s="1"/>
  <c r="E47" i="8" s="1"/>
  <c r="J47" i="8" s="1"/>
  <c r="F46" i="8"/>
  <c r="D46" i="8"/>
  <c r="B46" i="8"/>
  <c r="C46" i="8" s="1"/>
  <c r="E46" i="8" s="1"/>
  <c r="J46" i="8" s="1"/>
  <c r="F45" i="8"/>
  <c r="D45" i="8"/>
  <c r="B45" i="8"/>
  <c r="C45" i="8" s="1"/>
  <c r="E45" i="8" s="1"/>
  <c r="J45" i="8" s="1"/>
  <c r="F44" i="8"/>
  <c r="D44" i="8"/>
  <c r="B44" i="8"/>
  <c r="C44" i="8" s="1"/>
  <c r="E44" i="8" s="1"/>
  <c r="J44" i="8" s="1"/>
  <c r="F43" i="8"/>
  <c r="D43" i="8"/>
  <c r="B43" i="8"/>
  <c r="C43" i="8" s="1"/>
  <c r="E43" i="8" s="1"/>
  <c r="J43" i="8" s="1"/>
  <c r="F42" i="8"/>
  <c r="D42" i="8"/>
  <c r="B42" i="8"/>
  <c r="C42" i="8" s="1"/>
  <c r="E42" i="8" s="1"/>
  <c r="J42" i="8" s="1"/>
  <c r="F41" i="8"/>
  <c r="D41" i="8"/>
  <c r="B41" i="8"/>
  <c r="C41" i="8" s="1"/>
  <c r="E41" i="8" s="1"/>
  <c r="J41" i="8" s="1"/>
  <c r="O37" i="8"/>
  <c r="A37" i="8"/>
  <c r="O36" i="8"/>
  <c r="A36" i="8"/>
  <c r="O35" i="8"/>
  <c r="A35" i="8"/>
  <c r="O34" i="8"/>
  <c r="A34" i="8"/>
  <c r="O33" i="8"/>
  <c r="A33" i="8"/>
  <c r="O32" i="8"/>
  <c r="A32" i="8"/>
  <c r="O31" i="8"/>
  <c r="A31" i="8"/>
  <c r="O30" i="8"/>
  <c r="A30" i="8"/>
  <c r="O29" i="8"/>
  <c r="A29" i="8"/>
  <c r="O28" i="8"/>
  <c r="A28" i="8"/>
  <c r="O27" i="8"/>
  <c r="A27" i="8"/>
  <c r="O26" i="8"/>
  <c r="A26" i="8"/>
  <c r="O25" i="8"/>
  <c r="A25" i="8"/>
  <c r="O24" i="8"/>
  <c r="A24" i="8"/>
  <c r="O23" i="8"/>
  <c r="A23" i="8"/>
  <c r="F55" i="7"/>
  <c r="D55" i="7"/>
  <c r="B55" i="7"/>
  <c r="C55" i="7" s="1"/>
  <c r="E55" i="7" s="1"/>
  <c r="J55" i="7" s="1"/>
  <c r="F54" i="7"/>
  <c r="D54" i="7"/>
  <c r="B54" i="7"/>
  <c r="C54" i="7" s="1"/>
  <c r="E54" i="7" s="1"/>
  <c r="J54" i="7" s="1"/>
  <c r="F53" i="7"/>
  <c r="D53" i="7"/>
  <c r="B53" i="7"/>
  <c r="C53" i="7" s="1"/>
  <c r="E53" i="7" s="1"/>
  <c r="J53" i="7" s="1"/>
  <c r="F52" i="7"/>
  <c r="D52" i="7"/>
  <c r="B52" i="7"/>
  <c r="C52" i="7" s="1"/>
  <c r="E52" i="7" s="1"/>
  <c r="J52" i="7" s="1"/>
  <c r="F51" i="7"/>
  <c r="D51" i="7"/>
  <c r="B51" i="7"/>
  <c r="C51" i="7" s="1"/>
  <c r="E51" i="7" s="1"/>
  <c r="J51" i="7" s="1"/>
  <c r="F50" i="7"/>
  <c r="D50" i="7"/>
  <c r="B50" i="7"/>
  <c r="C50" i="7" s="1"/>
  <c r="E50" i="7" s="1"/>
  <c r="J50" i="7" s="1"/>
  <c r="F49" i="7"/>
  <c r="D49" i="7"/>
  <c r="B49" i="7"/>
  <c r="C49" i="7" s="1"/>
  <c r="E49" i="7" s="1"/>
  <c r="J49" i="7" s="1"/>
  <c r="F48" i="7"/>
  <c r="D48" i="7"/>
  <c r="B48" i="7"/>
  <c r="C48" i="7" s="1"/>
  <c r="E48" i="7" s="1"/>
  <c r="J48" i="7" s="1"/>
  <c r="F47" i="7"/>
  <c r="D47" i="7"/>
  <c r="B47" i="7"/>
  <c r="C47" i="7" s="1"/>
  <c r="E47" i="7" s="1"/>
  <c r="J47" i="7" s="1"/>
  <c r="F46" i="7"/>
  <c r="D46" i="7"/>
  <c r="B46" i="7"/>
  <c r="C46" i="7" s="1"/>
  <c r="E46" i="7" s="1"/>
  <c r="J46" i="7" s="1"/>
  <c r="F45" i="7"/>
  <c r="D45" i="7"/>
  <c r="B45" i="7"/>
  <c r="C45" i="7" s="1"/>
  <c r="E45" i="7" s="1"/>
  <c r="J45" i="7" s="1"/>
  <c r="F44" i="7"/>
  <c r="D44" i="7"/>
  <c r="B44" i="7"/>
  <c r="C44" i="7" s="1"/>
  <c r="E44" i="7" s="1"/>
  <c r="J44" i="7" s="1"/>
  <c r="F43" i="7"/>
  <c r="D43" i="7"/>
  <c r="B43" i="7"/>
  <c r="C43" i="7" s="1"/>
  <c r="E43" i="7" s="1"/>
  <c r="J43" i="7" s="1"/>
  <c r="F42" i="7"/>
  <c r="D42" i="7"/>
  <c r="B42" i="7"/>
  <c r="C42" i="7" s="1"/>
  <c r="E42" i="7" s="1"/>
  <c r="J42" i="7" s="1"/>
  <c r="F41" i="7"/>
  <c r="D41" i="7"/>
  <c r="B41" i="7"/>
  <c r="C41" i="7" s="1"/>
  <c r="E41" i="7" s="1"/>
  <c r="J41" i="7" s="1"/>
  <c r="O37" i="7"/>
  <c r="A37" i="7"/>
  <c r="O36" i="7"/>
  <c r="A36" i="7"/>
  <c r="O35" i="7"/>
  <c r="A35" i="7"/>
  <c r="O34" i="7"/>
  <c r="A34" i="7"/>
  <c r="O33" i="7"/>
  <c r="A33" i="7"/>
  <c r="O32" i="7"/>
  <c r="A32" i="7"/>
  <c r="O31" i="7"/>
  <c r="A31" i="7"/>
  <c r="O30" i="7"/>
  <c r="A30" i="7"/>
  <c r="O29" i="7"/>
  <c r="A29" i="7"/>
  <c r="O28" i="7"/>
  <c r="A28" i="7"/>
  <c r="O27" i="7"/>
  <c r="A27" i="7"/>
  <c r="O26" i="7"/>
  <c r="A26" i="7"/>
  <c r="O25" i="7"/>
  <c r="A25" i="7"/>
  <c r="O24" i="7"/>
  <c r="A24" i="7"/>
  <c r="O23" i="7"/>
  <c r="A23" i="7"/>
  <c r="F55" i="6"/>
  <c r="D55" i="6"/>
  <c r="B55" i="6"/>
  <c r="C55" i="6" s="1"/>
  <c r="E55" i="6" s="1"/>
  <c r="J55" i="6" s="1"/>
  <c r="F54" i="6"/>
  <c r="D54" i="6"/>
  <c r="B54" i="6"/>
  <c r="C54" i="6" s="1"/>
  <c r="E54" i="6" s="1"/>
  <c r="J54" i="6" s="1"/>
  <c r="F53" i="6"/>
  <c r="D53" i="6"/>
  <c r="B53" i="6"/>
  <c r="C53" i="6" s="1"/>
  <c r="E53" i="6" s="1"/>
  <c r="J53" i="6" s="1"/>
  <c r="F52" i="6"/>
  <c r="D52" i="6"/>
  <c r="B52" i="6"/>
  <c r="C52" i="6" s="1"/>
  <c r="E52" i="6" s="1"/>
  <c r="J52" i="6" s="1"/>
  <c r="F51" i="6"/>
  <c r="D51" i="6"/>
  <c r="B51" i="6"/>
  <c r="C51" i="6" s="1"/>
  <c r="E51" i="6" s="1"/>
  <c r="J51" i="6" s="1"/>
  <c r="F50" i="6"/>
  <c r="D50" i="6"/>
  <c r="B50" i="6"/>
  <c r="C50" i="6" s="1"/>
  <c r="E50" i="6" s="1"/>
  <c r="J50" i="6" s="1"/>
  <c r="F49" i="6"/>
  <c r="D49" i="6"/>
  <c r="B49" i="6"/>
  <c r="C49" i="6" s="1"/>
  <c r="E49" i="6" s="1"/>
  <c r="J49" i="6" s="1"/>
  <c r="F48" i="6"/>
  <c r="D48" i="6"/>
  <c r="B48" i="6"/>
  <c r="C48" i="6" s="1"/>
  <c r="E48" i="6" s="1"/>
  <c r="J48" i="6" s="1"/>
  <c r="F47" i="6"/>
  <c r="D47" i="6"/>
  <c r="B47" i="6"/>
  <c r="C47" i="6" s="1"/>
  <c r="E47" i="6" s="1"/>
  <c r="J47" i="6" s="1"/>
  <c r="F46" i="6"/>
  <c r="D46" i="6"/>
  <c r="B46" i="6"/>
  <c r="C46" i="6" s="1"/>
  <c r="E46" i="6" s="1"/>
  <c r="J46" i="6" s="1"/>
  <c r="F45" i="6"/>
  <c r="D45" i="6"/>
  <c r="B45" i="6"/>
  <c r="C45" i="6" s="1"/>
  <c r="E45" i="6" s="1"/>
  <c r="J45" i="6" s="1"/>
  <c r="F44" i="6"/>
  <c r="D44" i="6"/>
  <c r="B44" i="6"/>
  <c r="C44" i="6" s="1"/>
  <c r="E44" i="6" s="1"/>
  <c r="J44" i="6" s="1"/>
  <c r="F43" i="6"/>
  <c r="D43" i="6"/>
  <c r="B43" i="6"/>
  <c r="C43" i="6" s="1"/>
  <c r="E43" i="6" s="1"/>
  <c r="J43" i="6" s="1"/>
  <c r="F42" i="6"/>
  <c r="D42" i="6"/>
  <c r="B42" i="6"/>
  <c r="C42" i="6" s="1"/>
  <c r="E42" i="6" s="1"/>
  <c r="J42" i="6" s="1"/>
  <c r="F41" i="6"/>
  <c r="D41" i="6"/>
  <c r="B41" i="6"/>
  <c r="C41" i="6" s="1"/>
  <c r="E41" i="6" s="1"/>
  <c r="J41" i="6" s="1"/>
  <c r="O37" i="6"/>
  <c r="A37" i="6"/>
  <c r="O36" i="6"/>
  <c r="A36" i="6"/>
  <c r="O35" i="6"/>
  <c r="A35" i="6"/>
  <c r="O34" i="6"/>
  <c r="A34" i="6"/>
  <c r="O33" i="6"/>
  <c r="A33" i="6"/>
  <c r="O32" i="6"/>
  <c r="A32" i="6"/>
  <c r="O31" i="6"/>
  <c r="A31" i="6"/>
  <c r="O30" i="6"/>
  <c r="A30" i="6"/>
  <c r="O29" i="6"/>
  <c r="A29" i="6"/>
  <c r="O28" i="6"/>
  <c r="A28" i="6"/>
  <c r="O27" i="6"/>
  <c r="A27" i="6"/>
  <c r="O26" i="6"/>
  <c r="A26" i="6"/>
  <c r="O25" i="6"/>
  <c r="A25" i="6"/>
  <c r="O24" i="6"/>
  <c r="A24" i="6"/>
  <c r="O23" i="6"/>
  <c r="A23" i="6"/>
  <c r="F55" i="5"/>
  <c r="D55" i="5"/>
  <c r="B55" i="5"/>
  <c r="C55" i="5" s="1"/>
  <c r="E55" i="5" s="1"/>
  <c r="J55" i="5" s="1"/>
  <c r="F54" i="5"/>
  <c r="D54" i="5"/>
  <c r="B54" i="5"/>
  <c r="C54" i="5" s="1"/>
  <c r="E54" i="5" s="1"/>
  <c r="J54" i="5" s="1"/>
  <c r="F53" i="5"/>
  <c r="D53" i="5"/>
  <c r="B53" i="5"/>
  <c r="C53" i="5" s="1"/>
  <c r="E53" i="5" s="1"/>
  <c r="J53" i="5" s="1"/>
  <c r="F52" i="5"/>
  <c r="D52" i="5"/>
  <c r="B52" i="5"/>
  <c r="C52" i="5" s="1"/>
  <c r="E52" i="5" s="1"/>
  <c r="J52" i="5" s="1"/>
  <c r="F51" i="5"/>
  <c r="D51" i="5"/>
  <c r="B51" i="5"/>
  <c r="C51" i="5" s="1"/>
  <c r="E51" i="5" s="1"/>
  <c r="J51" i="5" s="1"/>
  <c r="F50" i="5"/>
  <c r="D50" i="5"/>
  <c r="B50" i="5"/>
  <c r="C50" i="5" s="1"/>
  <c r="E50" i="5" s="1"/>
  <c r="J50" i="5" s="1"/>
  <c r="F49" i="5"/>
  <c r="D49" i="5"/>
  <c r="B49" i="5"/>
  <c r="C49" i="5" s="1"/>
  <c r="E49" i="5" s="1"/>
  <c r="J49" i="5" s="1"/>
  <c r="F48" i="5"/>
  <c r="D48" i="5"/>
  <c r="B48" i="5"/>
  <c r="C48" i="5" s="1"/>
  <c r="E48" i="5" s="1"/>
  <c r="J48" i="5" s="1"/>
  <c r="F47" i="5"/>
  <c r="D47" i="5"/>
  <c r="B47" i="5"/>
  <c r="C47" i="5" s="1"/>
  <c r="E47" i="5" s="1"/>
  <c r="J47" i="5" s="1"/>
  <c r="F46" i="5"/>
  <c r="D46" i="5"/>
  <c r="B46" i="5"/>
  <c r="C46" i="5" s="1"/>
  <c r="E46" i="5" s="1"/>
  <c r="J46" i="5" s="1"/>
  <c r="F45" i="5"/>
  <c r="D45" i="5"/>
  <c r="B45" i="5"/>
  <c r="C45" i="5" s="1"/>
  <c r="E45" i="5" s="1"/>
  <c r="J45" i="5" s="1"/>
  <c r="F44" i="5"/>
  <c r="D44" i="5"/>
  <c r="B44" i="5"/>
  <c r="C44" i="5" s="1"/>
  <c r="E44" i="5" s="1"/>
  <c r="J44" i="5" s="1"/>
  <c r="F43" i="5"/>
  <c r="D43" i="5"/>
  <c r="B43" i="5"/>
  <c r="C43" i="5" s="1"/>
  <c r="E43" i="5" s="1"/>
  <c r="J43" i="5" s="1"/>
  <c r="F42" i="5"/>
  <c r="D42" i="5"/>
  <c r="B42" i="5"/>
  <c r="C42" i="5" s="1"/>
  <c r="E42" i="5" s="1"/>
  <c r="J42" i="5" s="1"/>
  <c r="F41" i="5"/>
  <c r="D41" i="5"/>
  <c r="B41" i="5"/>
  <c r="C41" i="5" s="1"/>
  <c r="E41" i="5" s="1"/>
  <c r="J41" i="5" s="1"/>
  <c r="O37" i="5"/>
  <c r="A37" i="5"/>
  <c r="O36" i="5"/>
  <c r="A36" i="5"/>
  <c r="O35" i="5"/>
  <c r="A35" i="5"/>
  <c r="O34" i="5"/>
  <c r="A34" i="5"/>
  <c r="O33" i="5"/>
  <c r="A33" i="5"/>
  <c r="O32" i="5"/>
  <c r="A32" i="5"/>
  <c r="O31" i="5"/>
  <c r="A31" i="5"/>
  <c r="O30" i="5"/>
  <c r="A30" i="5"/>
  <c r="O29" i="5"/>
  <c r="A29" i="5"/>
  <c r="O28" i="5"/>
  <c r="A28" i="5"/>
  <c r="O27" i="5"/>
  <c r="A27" i="5"/>
  <c r="O26" i="5"/>
  <c r="A26" i="5"/>
  <c r="O25" i="5"/>
  <c r="A25" i="5"/>
  <c r="O24" i="5"/>
  <c r="A24" i="5"/>
  <c r="O23" i="5"/>
  <c r="A23" i="5"/>
  <c r="F55" i="4"/>
  <c r="D55" i="4"/>
  <c r="B55" i="4"/>
  <c r="C55" i="4" s="1"/>
  <c r="E55" i="4" s="1"/>
  <c r="J55" i="4" s="1"/>
  <c r="F54" i="4"/>
  <c r="D54" i="4"/>
  <c r="B54" i="4"/>
  <c r="C54" i="4" s="1"/>
  <c r="E54" i="4" s="1"/>
  <c r="J54" i="4" s="1"/>
  <c r="F53" i="4"/>
  <c r="D53" i="4"/>
  <c r="B53" i="4"/>
  <c r="C53" i="4" s="1"/>
  <c r="E53" i="4" s="1"/>
  <c r="J53" i="4" s="1"/>
  <c r="F52" i="4"/>
  <c r="D52" i="4"/>
  <c r="B52" i="4"/>
  <c r="C52" i="4" s="1"/>
  <c r="E52" i="4" s="1"/>
  <c r="J52" i="4" s="1"/>
  <c r="F51" i="4"/>
  <c r="D51" i="4"/>
  <c r="B51" i="4"/>
  <c r="C51" i="4" s="1"/>
  <c r="E51" i="4" s="1"/>
  <c r="J51" i="4" s="1"/>
  <c r="F50" i="4"/>
  <c r="D50" i="4"/>
  <c r="B50" i="4"/>
  <c r="C50" i="4" s="1"/>
  <c r="E50" i="4" s="1"/>
  <c r="J50" i="4" s="1"/>
  <c r="F49" i="4"/>
  <c r="D49" i="4"/>
  <c r="B49" i="4"/>
  <c r="C49" i="4" s="1"/>
  <c r="E49" i="4" s="1"/>
  <c r="J49" i="4" s="1"/>
  <c r="F48" i="4"/>
  <c r="D48" i="4"/>
  <c r="B48" i="4"/>
  <c r="C48" i="4" s="1"/>
  <c r="E48" i="4" s="1"/>
  <c r="J48" i="4" s="1"/>
  <c r="F47" i="4"/>
  <c r="D47" i="4"/>
  <c r="B47" i="4"/>
  <c r="C47" i="4" s="1"/>
  <c r="E47" i="4" s="1"/>
  <c r="J47" i="4" s="1"/>
  <c r="F46" i="4"/>
  <c r="D46" i="4"/>
  <c r="B46" i="4"/>
  <c r="C46" i="4" s="1"/>
  <c r="E46" i="4" s="1"/>
  <c r="J46" i="4" s="1"/>
  <c r="F45" i="4"/>
  <c r="D45" i="4"/>
  <c r="B45" i="4"/>
  <c r="C45" i="4" s="1"/>
  <c r="E45" i="4" s="1"/>
  <c r="J45" i="4" s="1"/>
  <c r="F44" i="4"/>
  <c r="D44" i="4"/>
  <c r="B44" i="4"/>
  <c r="C44" i="4" s="1"/>
  <c r="E44" i="4" s="1"/>
  <c r="J44" i="4" s="1"/>
  <c r="F43" i="4"/>
  <c r="D43" i="4"/>
  <c r="B43" i="4"/>
  <c r="C43" i="4" s="1"/>
  <c r="E43" i="4" s="1"/>
  <c r="J43" i="4" s="1"/>
  <c r="F42" i="4"/>
  <c r="D42" i="4"/>
  <c r="B42" i="4"/>
  <c r="C42" i="4" s="1"/>
  <c r="E42" i="4" s="1"/>
  <c r="J42" i="4" s="1"/>
  <c r="F41" i="4"/>
  <c r="D41" i="4"/>
  <c r="O23" i="4" s="1"/>
  <c r="B41" i="4"/>
  <c r="C41" i="4" s="1"/>
  <c r="O37" i="4"/>
  <c r="A37" i="4"/>
  <c r="O36" i="4"/>
  <c r="A36" i="4"/>
  <c r="O35" i="4"/>
  <c r="A35" i="4"/>
  <c r="O34" i="4"/>
  <c r="A34" i="4"/>
  <c r="O33" i="4"/>
  <c r="A33" i="4"/>
  <c r="O32" i="4"/>
  <c r="A32" i="4"/>
  <c r="O31" i="4"/>
  <c r="A31" i="4"/>
  <c r="O30" i="4"/>
  <c r="A30" i="4"/>
  <c r="O29" i="4"/>
  <c r="A29" i="4"/>
  <c r="O28" i="4"/>
  <c r="A28" i="4"/>
  <c r="O27" i="4"/>
  <c r="A27" i="4"/>
  <c r="O26" i="4"/>
  <c r="A26" i="4"/>
  <c r="O25" i="4"/>
  <c r="A25" i="4"/>
  <c r="O24" i="4"/>
  <c r="A24" i="4"/>
  <c r="A23" i="4"/>
  <c r="F55" i="3"/>
  <c r="D55" i="3"/>
  <c r="B55" i="3"/>
  <c r="C55" i="3" s="1"/>
  <c r="E55" i="3" s="1"/>
  <c r="J55" i="3" s="1"/>
  <c r="F54" i="3"/>
  <c r="D54" i="3"/>
  <c r="B54" i="3"/>
  <c r="C54" i="3" s="1"/>
  <c r="E54" i="3" s="1"/>
  <c r="J54" i="3" s="1"/>
  <c r="F53" i="3"/>
  <c r="D53" i="3"/>
  <c r="B53" i="3"/>
  <c r="C53" i="3" s="1"/>
  <c r="E53" i="3" s="1"/>
  <c r="J53" i="3" s="1"/>
  <c r="F52" i="3"/>
  <c r="D52" i="3"/>
  <c r="B52" i="3"/>
  <c r="C52" i="3" s="1"/>
  <c r="E52" i="3" s="1"/>
  <c r="J52" i="3" s="1"/>
  <c r="F51" i="3"/>
  <c r="D51" i="3"/>
  <c r="B51" i="3"/>
  <c r="C51" i="3" s="1"/>
  <c r="E51" i="3" s="1"/>
  <c r="J51" i="3" s="1"/>
  <c r="F50" i="3"/>
  <c r="D50" i="3"/>
  <c r="B50" i="3"/>
  <c r="C50" i="3" s="1"/>
  <c r="E50" i="3" s="1"/>
  <c r="J50" i="3" s="1"/>
  <c r="F49" i="3"/>
  <c r="D49" i="3"/>
  <c r="B49" i="3"/>
  <c r="C49" i="3" s="1"/>
  <c r="E49" i="3" s="1"/>
  <c r="J49" i="3" s="1"/>
  <c r="F48" i="3"/>
  <c r="D48" i="3"/>
  <c r="B48" i="3"/>
  <c r="C48" i="3" s="1"/>
  <c r="E48" i="3" s="1"/>
  <c r="J48" i="3" s="1"/>
  <c r="F47" i="3"/>
  <c r="D47" i="3"/>
  <c r="B47" i="3"/>
  <c r="C47" i="3" s="1"/>
  <c r="E47" i="3" s="1"/>
  <c r="J47" i="3" s="1"/>
  <c r="F46" i="3"/>
  <c r="D46" i="3"/>
  <c r="B46" i="3"/>
  <c r="C46" i="3" s="1"/>
  <c r="E46" i="3" s="1"/>
  <c r="J46" i="3" s="1"/>
  <c r="F45" i="3"/>
  <c r="D45" i="3"/>
  <c r="B45" i="3"/>
  <c r="C45" i="3" s="1"/>
  <c r="E45" i="3" s="1"/>
  <c r="J45" i="3" s="1"/>
  <c r="F44" i="3"/>
  <c r="D44" i="3"/>
  <c r="B44" i="3"/>
  <c r="C44" i="3" s="1"/>
  <c r="E44" i="3" s="1"/>
  <c r="J44" i="3" s="1"/>
  <c r="F43" i="3"/>
  <c r="D43" i="3"/>
  <c r="B43" i="3"/>
  <c r="C43" i="3" s="1"/>
  <c r="E43" i="3" s="1"/>
  <c r="J43" i="3" s="1"/>
  <c r="F42" i="3"/>
  <c r="D42" i="3"/>
  <c r="B42" i="3"/>
  <c r="C42" i="3" s="1"/>
  <c r="E42" i="3" s="1"/>
  <c r="J42" i="3" s="1"/>
  <c r="F41" i="3"/>
  <c r="D41" i="3"/>
  <c r="B41" i="3"/>
  <c r="C41" i="3" s="1"/>
  <c r="E41" i="3" s="1"/>
  <c r="J41" i="3" s="1"/>
  <c r="O37" i="3"/>
  <c r="A37" i="3"/>
  <c r="O36" i="3"/>
  <c r="A36" i="3"/>
  <c r="O35" i="3"/>
  <c r="A35" i="3"/>
  <c r="O34" i="3"/>
  <c r="A34" i="3"/>
  <c r="O33" i="3"/>
  <c r="A33" i="3"/>
  <c r="O32" i="3"/>
  <c r="A32" i="3"/>
  <c r="O31" i="3"/>
  <c r="A31" i="3"/>
  <c r="O30" i="3"/>
  <c r="A30" i="3"/>
  <c r="O29" i="3"/>
  <c r="A29" i="3"/>
  <c r="O28" i="3"/>
  <c r="A28" i="3"/>
  <c r="O27" i="3"/>
  <c r="A27" i="3"/>
  <c r="O26" i="3"/>
  <c r="A26" i="3"/>
  <c r="O25" i="3"/>
  <c r="A25" i="3"/>
  <c r="O24" i="3"/>
  <c r="A24" i="3"/>
  <c r="O23" i="3"/>
  <c r="A23" i="3"/>
  <c r="F55" i="2"/>
  <c r="D55" i="2"/>
  <c r="B55" i="2"/>
  <c r="C55" i="2" s="1"/>
  <c r="E55" i="2" s="1"/>
  <c r="J55" i="2" s="1"/>
  <c r="F54" i="2"/>
  <c r="D54" i="2"/>
  <c r="B54" i="2"/>
  <c r="C54" i="2" s="1"/>
  <c r="E54" i="2" s="1"/>
  <c r="J54" i="2" s="1"/>
  <c r="F53" i="2"/>
  <c r="D53" i="2"/>
  <c r="B53" i="2"/>
  <c r="C53" i="2" s="1"/>
  <c r="E53" i="2" s="1"/>
  <c r="J53" i="2" s="1"/>
  <c r="F52" i="2"/>
  <c r="D52" i="2"/>
  <c r="B52" i="2"/>
  <c r="C52" i="2" s="1"/>
  <c r="E52" i="2" s="1"/>
  <c r="J52" i="2" s="1"/>
  <c r="F51" i="2"/>
  <c r="D51" i="2"/>
  <c r="B51" i="2"/>
  <c r="C51" i="2" s="1"/>
  <c r="E51" i="2" s="1"/>
  <c r="J51" i="2" s="1"/>
  <c r="F50" i="2"/>
  <c r="D50" i="2"/>
  <c r="B50" i="2"/>
  <c r="C50" i="2" s="1"/>
  <c r="E50" i="2" s="1"/>
  <c r="J50" i="2" s="1"/>
  <c r="F49" i="2"/>
  <c r="D49" i="2"/>
  <c r="B49" i="2"/>
  <c r="C49" i="2" s="1"/>
  <c r="E49" i="2" s="1"/>
  <c r="J49" i="2" s="1"/>
  <c r="F48" i="2"/>
  <c r="D48" i="2"/>
  <c r="B48" i="2"/>
  <c r="C48" i="2" s="1"/>
  <c r="E48" i="2" s="1"/>
  <c r="J48" i="2" s="1"/>
  <c r="F47" i="2"/>
  <c r="D47" i="2"/>
  <c r="B47" i="2"/>
  <c r="C47" i="2" s="1"/>
  <c r="E47" i="2" s="1"/>
  <c r="J47" i="2" s="1"/>
  <c r="F46" i="2"/>
  <c r="D46" i="2"/>
  <c r="B46" i="2"/>
  <c r="C46" i="2" s="1"/>
  <c r="E46" i="2" s="1"/>
  <c r="J46" i="2" s="1"/>
  <c r="F45" i="2"/>
  <c r="D45" i="2"/>
  <c r="B45" i="2"/>
  <c r="C45" i="2" s="1"/>
  <c r="E45" i="2" s="1"/>
  <c r="J45" i="2" s="1"/>
  <c r="F44" i="2"/>
  <c r="D44" i="2"/>
  <c r="B44" i="2"/>
  <c r="C44" i="2" s="1"/>
  <c r="E44" i="2" s="1"/>
  <c r="J44" i="2" s="1"/>
  <c r="F43" i="2"/>
  <c r="D43" i="2"/>
  <c r="B43" i="2"/>
  <c r="C43" i="2" s="1"/>
  <c r="E43" i="2" s="1"/>
  <c r="J43" i="2" s="1"/>
  <c r="F42" i="2"/>
  <c r="D42" i="2"/>
  <c r="B42" i="2"/>
  <c r="C42" i="2" s="1"/>
  <c r="E42" i="2" s="1"/>
  <c r="J42" i="2" s="1"/>
  <c r="F41" i="2"/>
  <c r="D41" i="2"/>
  <c r="B41" i="2"/>
  <c r="C41" i="2" s="1"/>
  <c r="E41" i="2" s="1"/>
  <c r="J41" i="2" s="1"/>
  <c r="O37" i="2"/>
  <c r="A37" i="2"/>
  <c r="O36" i="2"/>
  <c r="A36" i="2"/>
  <c r="O35" i="2"/>
  <c r="A35" i="2"/>
  <c r="O34" i="2"/>
  <c r="A34" i="2"/>
  <c r="O33" i="2"/>
  <c r="A33" i="2"/>
  <c r="O32" i="2"/>
  <c r="A32" i="2"/>
  <c r="O31" i="2"/>
  <c r="A31" i="2"/>
  <c r="O30" i="2"/>
  <c r="A30" i="2"/>
  <c r="O29" i="2"/>
  <c r="A29" i="2"/>
  <c r="O28" i="2"/>
  <c r="A28" i="2"/>
  <c r="O27" i="2"/>
  <c r="A27" i="2"/>
  <c r="O26" i="2"/>
  <c r="A26" i="2"/>
  <c r="O25" i="2"/>
  <c r="A25" i="2"/>
  <c r="O24" i="2"/>
  <c r="A24" i="2"/>
  <c r="O23" i="2"/>
  <c r="A23" i="2"/>
  <c r="D60" i="1"/>
  <c r="O39" i="1" s="1"/>
  <c r="D59" i="1"/>
  <c r="O37" i="1" s="1"/>
  <c r="D58" i="1"/>
  <c r="O36" i="1" s="1"/>
  <c r="D57" i="1"/>
  <c r="O35" i="1" s="1"/>
  <c r="D56" i="1"/>
  <c r="O34" i="1" s="1"/>
  <c r="D55" i="1"/>
  <c r="O33" i="1" s="1"/>
  <c r="D54" i="1"/>
  <c r="O32" i="1" s="1"/>
  <c r="D53" i="1"/>
  <c r="O31" i="1" s="1"/>
  <c r="D52" i="1"/>
  <c r="O30" i="1" s="1"/>
  <c r="D51" i="1"/>
  <c r="O29" i="1" s="1"/>
  <c r="D50" i="1"/>
  <c r="O28" i="1" s="1"/>
  <c r="D49" i="1"/>
  <c r="O27" i="1" s="1"/>
  <c r="D48" i="1"/>
  <c r="O26" i="1" s="1"/>
  <c r="D47" i="1"/>
  <c r="O25" i="1" s="1"/>
  <c r="D46" i="1"/>
  <c r="O24" i="1" s="1"/>
  <c r="E41" i="4" l="1"/>
  <c r="J41" i="4" s="1"/>
  <c r="H51" i="4" s="1"/>
  <c r="G51" i="4" s="1"/>
  <c r="I51" i="4" s="1"/>
  <c r="D14" i="4" s="1"/>
  <c r="E59" i="1"/>
  <c r="J59" i="1" s="1"/>
  <c r="E52" i="1"/>
  <c r="J52" i="1" s="1"/>
  <c r="E58" i="1"/>
  <c r="J58" i="1" s="1"/>
  <c r="E60" i="1"/>
  <c r="J60" i="1" s="1"/>
  <c r="E47" i="1"/>
  <c r="J47" i="1" s="1"/>
  <c r="E55" i="1"/>
  <c r="J55" i="1" s="1"/>
  <c r="E50" i="1"/>
  <c r="J50" i="1" s="1"/>
  <c r="E57" i="1"/>
  <c r="J57" i="1" s="1"/>
  <c r="E46" i="1"/>
  <c r="J46" i="1" s="1"/>
  <c r="E49" i="1"/>
  <c r="J49" i="1" s="1"/>
  <c r="E56" i="1"/>
  <c r="J56" i="1" s="1"/>
  <c r="E53" i="1"/>
  <c r="J53" i="1" s="1"/>
  <c r="E51" i="1"/>
  <c r="J51" i="1" s="1"/>
  <c r="E48" i="1"/>
  <c r="J48" i="1" s="1"/>
  <c r="E54" i="1"/>
  <c r="J54" i="1" s="1"/>
  <c r="E45" i="1"/>
  <c r="J45" i="1" s="1"/>
  <c r="H55" i="2"/>
  <c r="G55" i="2" s="1"/>
  <c r="I55" i="2" s="1"/>
  <c r="D18" i="2" s="1"/>
  <c r="H54" i="2"/>
  <c r="G54" i="2" s="1"/>
  <c r="I54" i="2" s="1"/>
  <c r="D17" i="2" s="1"/>
  <c r="H53" i="2"/>
  <c r="G53" i="2" s="1"/>
  <c r="I53" i="2" s="1"/>
  <c r="D16" i="2" s="1"/>
  <c r="H52" i="2"/>
  <c r="G52" i="2" s="1"/>
  <c r="I52" i="2" s="1"/>
  <c r="D15" i="2" s="1"/>
  <c r="H51" i="2"/>
  <c r="G51" i="2" s="1"/>
  <c r="I51" i="2" s="1"/>
  <c r="D14" i="2" s="1"/>
  <c r="H50" i="2"/>
  <c r="G50" i="2" s="1"/>
  <c r="I50" i="2" s="1"/>
  <c r="D13" i="2" s="1"/>
  <c r="H49" i="2"/>
  <c r="G49" i="2" s="1"/>
  <c r="I49" i="2" s="1"/>
  <c r="D12" i="2" s="1"/>
  <c r="H48" i="2"/>
  <c r="G48" i="2" s="1"/>
  <c r="I48" i="2" s="1"/>
  <c r="D11" i="2" s="1"/>
  <c r="H47" i="2"/>
  <c r="G47" i="2" s="1"/>
  <c r="I47" i="2" s="1"/>
  <c r="D10" i="2" s="1"/>
  <c r="H46" i="2"/>
  <c r="G46" i="2" s="1"/>
  <c r="I46" i="2" s="1"/>
  <c r="D9" i="2" s="1"/>
  <c r="H45" i="2"/>
  <c r="G45" i="2" s="1"/>
  <c r="I45" i="2" s="1"/>
  <c r="D8" i="2" s="1"/>
  <c r="H44" i="2"/>
  <c r="G44" i="2" s="1"/>
  <c r="I44" i="2" s="1"/>
  <c r="D7" i="2" s="1"/>
  <c r="H43" i="2"/>
  <c r="G43" i="2" s="1"/>
  <c r="I43" i="2" s="1"/>
  <c r="D6" i="2" s="1"/>
  <c r="H42" i="2"/>
  <c r="G42" i="2" s="1"/>
  <c r="I42" i="2" s="1"/>
  <c r="D5" i="2" s="1"/>
  <c r="H41" i="2"/>
  <c r="G41" i="2" s="1"/>
  <c r="I41" i="2" s="1"/>
  <c r="D4" i="2" s="1"/>
  <c r="D19" i="2" s="1"/>
  <c r="H55" i="3"/>
  <c r="G55" i="3" s="1"/>
  <c r="I55" i="3" s="1"/>
  <c r="D18" i="3" s="1"/>
  <c r="H54" i="3"/>
  <c r="G54" i="3" s="1"/>
  <c r="I54" i="3" s="1"/>
  <c r="D17" i="3" s="1"/>
  <c r="H53" i="3"/>
  <c r="G53" i="3" s="1"/>
  <c r="I53" i="3" s="1"/>
  <c r="D16" i="3" s="1"/>
  <c r="H52" i="3"/>
  <c r="G52" i="3" s="1"/>
  <c r="I52" i="3" s="1"/>
  <c r="D15" i="3" s="1"/>
  <c r="H51" i="3"/>
  <c r="G51" i="3" s="1"/>
  <c r="I51" i="3" s="1"/>
  <c r="D14" i="3" s="1"/>
  <c r="H50" i="3"/>
  <c r="G50" i="3" s="1"/>
  <c r="I50" i="3" s="1"/>
  <c r="D13" i="3" s="1"/>
  <c r="H49" i="3"/>
  <c r="G49" i="3" s="1"/>
  <c r="I49" i="3" s="1"/>
  <c r="D12" i="3" s="1"/>
  <c r="H48" i="3"/>
  <c r="G48" i="3" s="1"/>
  <c r="I48" i="3" s="1"/>
  <c r="D11" i="3" s="1"/>
  <c r="H47" i="3"/>
  <c r="G47" i="3" s="1"/>
  <c r="I47" i="3" s="1"/>
  <c r="D10" i="3" s="1"/>
  <c r="H46" i="3"/>
  <c r="G46" i="3" s="1"/>
  <c r="I46" i="3" s="1"/>
  <c r="D9" i="3" s="1"/>
  <c r="H45" i="3"/>
  <c r="G45" i="3" s="1"/>
  <c r="I45" i="3" s="1"/>
  <c r="D8" i="3" s="1"/>
  <c r="H44" i="3"/>
  <c r="G44" i="3" s="1"/>
  <c r="I44" i="3" s="1"/>
  <c r="D7" i="3" s="1"/>
  <c r="H43" i="3"/>
  <c r="G43" i="3" s="1"/>
  <c r="I43" i="3" s="1"/>
  <c r="D6" i="3" s="1"/>
  <c r="H42" i="3"/>
  <c r="G42" i="3" s="1"/>
  <c r="I42" i="3" s="1"/>
  <c r="D5" i="3" s="1"/>
  <c r="H41" i="3"/>
  <c r="G41" i="3" s="1"/>
  <c r="I41" i="3" s="1"/>
  <c r="D4" i="3" s="1"/>
  <c r="D19" i="3" s="1"/>
  <c r="H53" i="4"/>
  <c r="G53" i="4" s="1"/>
  <c r="I53" i="4" s="1"/>
  <c r="D16" i="4" s="1"/>
  <c r="H52" i="4"/>
  <c r="G52" i="4" s="1"/>
  <c r="I52" i="4" s="1"/>
  <c r="D15" i="4" s="1"/>
  <c r="H47" i="4"/>
  <c r="G47" i="4" s="1"/>
  <c r="I47" i="4" s="1"/>
  <c r="D10" i="4" s="1"/>
  <c r="H46" i="4"/>
  <c r="G46" i="4" s="1"/>
  <c r="I46" i="4" s="1"/>
  <c r="D9" i="4" s="1"/>
  <c r="H42" i="4"/>
  <c r="G42" i="4" s="1"/>
  <c r="I42" i="4" s="1"/>
  <c r="D5" i="4" s="1"/>
  <c r="H41" i="4"/>
  <c r="G41" i="4" s="1"/>
  <c r="I41" i="4" s="1"/>
  <c r="D4" i="4" s="1"/>
  <c r="H55" i="5"/>
  <c r="G55" i="5" s="1"/>
  <c r="I55" i="5" s="1"/>
  <c r="D18" i="5" s="1"/>
  <c r="H54" i="5"/>
  <c r="G54" i="5" s="1"/>
  <c r="I54" i="5" s="1"/>
  <c r="D17" i="5" s="1"/>
  <c r="H53" i="5"/>
  <c r="G53" i="5" s="1"/>
  <c r="I53" i="5" s="1"/>
  <c r="D16" i="5" s="1"/>
  <c r="H52" i="5"/>
  <c r="G52" i="5" s="1"/>
  <c r="I52" i="5" s="1"/>
  <c r="D15" i="5" s="1"/>
  <c r="H51" i="5"/>
  <c r="G51" i="5" s="1"/>
  <c r="I51" i="5" s="1"/>
  <c r="D14" i="5" s="1"/>
  <c r="H50" i="5"/>
  <c r="G50" i="5" s="1"/>
  <c r="I50" i="5" s="1"/>
  <c r="D13" i="5" s="1"/>
  <c r="H49" i="5"/>
  <c r="G49" i="5" s="1"/>
  <c r="I49" i="5" s="1"/>
  <c r="D12" i="5" s="1"/>
  <c r="H48" i="5"/>
  <c r="G48" i="5" s="1"/>
  <c r="I48" i="5" s="1"/>
  <c r="D11" i="5" s="1"/>
  <c r="H47" i="5"/>
  <c r="G47" i="5" s="1"/>
  <c r="I47" i="5" s="1"/>
  <c r="D10" i="5" s="1"/>
  <c r="H46" i="5"/>
  <c r="G46" i="5" s="1"/>
  <c r="I46" i="5" s="1"/>
  <c r="D9" i="5" s="1"/>
  <c r="H45" i="5"/>
  <c r="G45" i="5" s="1"/>
  <c r="I45" i="5" s="1"/>
  <c r="D8" i="5" s="1"/>
  <c r="H44" i="5"/>
  <c r="G44" i="5" s="1"/>
  <c r="I44" i="5" s="1"/>
  <c r="D7" i="5" s="1"/>
  <c r="H43" i="5"/>
  <c r="G43" i="5" s="1"/>
  <c r="I43" i="5" s="1"/>
  <c r="D6" i="5" s="1"/>
  <c r="H42" i="5"/>
  <c r="G42" i="5" s="1"/>
  <c r="I42" i="5" s="1"/>
  <c r="D5" i="5" s="1"/>
  <c r="H41" i="5"/>
  <c r="G41" i="5" s="1"/>
  <c r="I41" i="5" s="1"/>
  <c r="D4" i="5" s="1"/>
  <c r="D19" i="5" s="1"/>
  <c r="H55" i="6"/>
  <c r="G55" i="6" s="1"/>
  <c r="I55" i="6" s="1"/>
  <c r="D18" i="6" s="1"/>
  <c r="H54" i="6"/>
  <c r="G54" i="6" s="1"/>
  <c r="I54" i="6" s="1"/>
  <c r="D17" i="6" s="1"/>
  <c r="H53" i="6"/>
  <c r="G53" i="6" s="1"/>
  <c r="I53" i="6" s="1"/>
  <c r="D16" i="6" s="1"/>
  <c r="H52" i="6"/>
  <c r="G52" i="6" s="1"/>
  <c r="I52" i="6" s="1"/>
  <c r="D15" i="6" s="1"/>
  <c r="H51" i="6"/>
  <c r="G51" i="6" s="1"/>
  <c r="I51" i="6" s="1"/>
  <c r="D14" i="6" s="1"/>
  <c r="H50" i="6"/>
  <c r="G50" i="6" s="1"/>
  <c r="I50" i="6" s="1"/>
  <c r="D13" i="6" s="1"/>
  <c r="H49" i="6"/>
  <c r="G49" i="6" s="1"/>
  <c r="I49" i="6" s="1"/>
  <c r="D12" i="6" s="1"/>
  <c r="H48" i="6"/>
  <c r="G48" i="6" s="1"/>
  <c r="I48" i="6" s="1"/>
  <c r="D11" i="6" s="1"/>
  <c r="H47" i="6"/>
  <c r="G47" i="6" s="1"/>
  <c r="I47" i="6" s="1"/>
  <c r="D10" i="6" s="1"/>
  <c r="H46" i="6"/>
  <c r="G46" i="6" s="1"/>
  <c r="I46" i="6" s="1"/>
  <c r="D9" i="6" s="1"/>
  <c r="H45" i="6"/>
  <c r="G45" i="6" s="1"/>
  <c r="I45" i="6" s="1"/>
  <c r="D8" i="6" s="1"/>
  <c r="H44" i="6"/>
  <c r="G44" i="6" s="1"/>
  <c r="I44" i="6" s="1"/>
  <c r="D7" i="6" s="1"/>
  <c r="H43" i="6"/>
  <c r="G43" i="6" s="1"/>
  <c r="I43" i="6" s="1"/>
  <c r="D6" i="6" s="1"/>
  <c r="H42" i="6"/>
  <c r="G42" i="6" s="1"/>
  <c r="I42" i="6" s="1"/>
  <c r="D5" i="6" s="1"/>
  <c r="H41" i="6"/>
  <c r="G41" i="6" s="1"/>
  <c r="I41" i="6" s="1"/>
  <c r="D4" i="6" s="1"/>
  <c r="D19" i="6" s="1"/>
  <c r="H55" i="7"/>
  <c r="G55" i="7" s="1"/>
  <c r="I55" i="7" s="1"/>
  <c r="D18" i="7" s="1"/>
  <c r="H54" i="7"/>
  <c r="G54" i="7" s="1"/>
  <c r="I54" i="7" s="1"/>
  <c r="D17" i="7" s="1"/>
  <c r="H53" i="7"/>
  <c r="G53" i="7" s="1"/>
  <c r="I53" i="7" s="1"/>
  <c r="D16" i="7" s="1"/>
  <c r="H52" i="7"/>
  <c r="G52" i="7" s="1"/>
  <c r="I52" i="7" s="1"/>
  <c r="D15" i="7" s="1"/>
  <c r="H51" i="7"/>
  <c r="G51" i="7" s="1"/>
  <c r="I51" i="7" s="1"/>
  <c r="D14" i="7" s="1"/>
  <c r="H50" i="7"/>
  <c r="G50" i="7" s="1"/>
  <c r="I50" i="7" s="1"/>
  <c r="D13" i="7" s="1"/>
  <c r="H49" i="7"/>
  <c r="G49" i="7" s="1"/>
  <c r="I49" i="7" s="1"/>
  <c r="D12" i="7" s="1"/>
  <c r="H48" i="7"/>
  <c r="G48" i="7" s="1"/>
  <c r="I48" i="7" s="1"/>
  <c r="D11" i="7" s="1"/>
  <c r="H47" i="7"/>
  <c r="G47" i="7" s="1"/>
  <c r="I47" i="7" s="1"/>
  <c r="D10" i="7" s="1"/>
  <c r="H46" i="7"/>
  <c r="G46" i="7" s="1"/>
  <c r="I46" i="7" s="1"/>
  <c r="D9" i="7" s="1"/>
  <c r="H45" i="7"/>
  <c r="G45" i="7" s="1"/>
  <c r="I45" i="7" s="1"/>
  <c r="D8" i="7" s="1"/>
  <c r="H44" i="7"/>
  <c r="G44" i="7" s="1"/>
  <c r="I44" i="7" s="1"/>
  <c r="D7" i="7" s="1"/>
  <c r="H43" i="7"/>
  <c r="G43" i="7" s="1"/>
  <c r="I43" i="7" s="1"/>
  <c r="D6" i="7" s="1"/>
  <c r="H42" i="7"/>
  <c r="G42" i="7" s="1"/>
  <c r="I42" i="7" s="1"/>
  <c r="D5" i="7" s="1"/>
  <c r="H41" i="7"/>
  <c r="G41" i="7" s="1"/>
  <c r="I41" i="7" s="1"/>
  <c r="D4" i="7" s="1"/>
  <c r="D19" i="7" s="1"/>
  <c r="H55" i="8"/>
  <c r="G55" i="8" s="1"/>
  <c r="I55" i="8" s="1"/>
  <c r="D18" i="8" s="1"/>
  <c r="H54" i="8"/>
  <c r="G54" i="8" s="1"/>
  <c r="I54" i="8" s="1"/>
  <c r="D17" i="8" s="1"/>
  <c r="H53" i="8"/>
  <c r="G53" i="8" s="1"/>
  <c r="I53" i="8" s="1"/>
  <c r="D16" i="8" s="1"/>
  <c r="H52" i="8"/>
  <c r="G52" i="8" s="1"/>
  <c r="I52" i="8" s="1"/>
  <c r="D15" i="8" s="1"/>
  <c r="H51" i="8"/>
  <c r="G51" i="8" s="1"/>
  <c r="I51" i="8" s="1"/>
  <c r="D14" i="8" s="1"/>
  <c r="H50" i="8"/>
  <c r="G50" i="8" s="1"/>
  <c r="I50" i="8" s="1"/>
  <c r="D13" i="8" s="1"/>
  <c r="H49" i="8"/>
  <c r="G49" i="8" s="1"/>
  <c r="I49" i="8" s="1"/>
  <c r="D12" i="8" s="1"/>
  <c r="H48" i="8"/>
  <c r="G48" i="8" s="1"/>
  <c r="I48" i="8" s="1"/>
  <c r="D11" i="8" s="1"/>
  <c r="H47" i="8"/>
  <c r="G47" i="8" s="1"/>
  <c r="I47" i="8" s="1"/>
  <c r="D10" i="8" s="1"/>
  <c r="H46" i="8"/>
  <c r="G46" i="8" s="1"/>
  <c r="I46" i="8" s="1"/>
  <c r="D9" i="8" s="1"/>
  <c r="H45" i="8"/>
  <c r="G45" i="8" s="1"/>
  <c r="I45" i="8" s="1"/>
  <c r="D8" i="8" s="1"/>
  <c r="H44" i="8"/>
  <c r="G44" i="8" s="1"/>
  <c r="I44" i="8" s="1"/>
  <c r="D7" i="8" s="1"/>
  <c r="H43" i="8"/>
  <c r="G43" i="8" s="1"/>
  <c r="I43" i="8" s="1"/>
  <c r="D6" i="8" s="1"/>
  <c r="H42" i="8"/>
  <c r="G42" i="8" s="1"/>
  <c r="I42" i="8" s="1"/>
  <c r="D5" i="8" s="1"/>
  <c r="H41" i="8"/>
  <c r="G41" i="8" s="1"/>
  <c r="I41" i="8" s="1"/>
  <c r="D4" i="8" s="1"/>
  <c r="D19" i="8" s="1"/>
  <c r="H55" i="9"/>
  <c r="G55" i="9" s="1"/>
  <c r="I55" i="9" s="1"/>
  <c r="D18" i="9" s="1"/>
  <c r="H54" i="9"/>
  <c r="G54" i="9" s="1"/>
  <c r="I54" i="9" s="1"/>
  <c r="D17" i="9" s="1"/>
  <c r="H53" i="9"/>
  <c r="G53" i="9" s="1"/>
  <c r="I53" i="9" s="1"/>
  <c r="D16" i="9" s="1"/>
  <c r="H52" i="9"/>
  <c r="G52" i="9" s="1"/>
  <c r="I52" i="9" s="1"/>
  <c r="D15" i="9" s="1"/>
  <c r="H51" i="9"/>
  <c r="G51" i="9" s="1"/>
  <c r="I51" i="9" s="1"/>
  <c r="D14" i="9" s="1"/>
  <c r="H50" i="9"/>
  <c r="G50" i="9" s="1"/>
  <c r="I50" i="9" s="1"/>
  <c r="D13" i="9" s="1"/>
  <c r="H49" i="9"/>
  <c r="G49" i="9" s="1"/>
  <c r="I49" i="9" s="1"/>
  <c r="D12" i="9" s="1"/>
  <c r="H48" i="9"/>
  <c r="G48" i="9" s="1"/>
  <c r="I48" i="9" s="1"/>
  <c r="D11" i="9" s="1"/>
  <c r="H47" i="9"/>
  <c r="G47" i="9" s="1"/>
  <c r="I47" i="9" s="1"/>
  <c r="D10" i="9" s="1"/>
  <c r="H46" i="9"/>
  <c r="G46" i="9" s="1"/>
  <c r="I46" i="9" s="1"/>
  <c r="D9" i="9" s="1"/>
  <c r="H45" i="9"/>
  <c r="G45" i="9" s="1"/>
  <c r="I45" i="9" s="1"/>
  <c r="D8" i="9" s="1"/>
  <c r="H44" i="9"/>
  <c r="G44" i="9" s="1"/>
  <c r="I44" i="9" s="1"/>
  <c r="D7" i="9" s="1"/>
  <c r="H43" i="9"/>
  <c r="G43" i="9" s="1"/>
  <c r="I43" i="9" s="1"/>
  <c r="D6" i="9" s="1"/>
  <c r="H42" i="9"/>
  <c r="G42" i="9" s="1"/>
  <c r="I42" i="9" s="1"/>
  <c r="D5" i="9" s="1"/>
  <c r="H41" i="9"/>
  <c r="G41" i="9" s="1"/>
  <c r="I41" i="9" s="1"/>
  <c r="D4" i="9" s="1"/>
  <c r="D19" i="9" s="1"/>
  <c r="H55" i="10"/>
  <c r="G55" i="10" s="1"/>
  <c r="I55" i="10" s="1"/>
  <c r="D18" i="10" s="1"/>
  <c r="H54" i="10"/>
  <c r="G54" i="10" s="1"/>
  <c r="I54" i="10" s="1"/>
  <c r="D17" i="10" s="1"/>
  <c r="H53" i="10"/>
  <c r="G53" i="10" s="1"/>
  <c r="I53" i="10" s="1"/>
  <c r="D16" i="10" s="1"/>
  <c r="H52" i="10"/>
  <c r="G52" i="10" s="1"/>
  <c r="I52" i="10" s="1"/>
  <c r="D15" i="10" s="1"/>
  <c r="H51" i="10"/>
  <c r="G51" i="10" s="1"/>
  <c r="I51" i="10" s="1"/>
  <c r="D14" i="10" s="1"/>
  <c r="H50" i="10"/>
  <c r="G50" i="10" s="1"/>
  <c r="I50" i="10" s="1"/>
  <c r="D13" i="10" s="1"/>
  <c r="H49" i="10"/>
  <c r="G49" i="10" s="1"/>
  <c r="I49" i="10" s="1"/>
  <c r="D12" i="10" s="1"/>
  <c r="H48" i="10"/>
  <c r="G48" i="10" s="1"/>
  <c r="I48" i="10" s="1"/>
  <c r="D11" i="10" s="1"/>
  <c r="H47" i="10"/>
  <c r="G47" i="10" s="1"/>
  <c r="I47" i="10" s="1"/>
  <c r="D10" i="10" s="1"/>
  <c r="H46" i="10"/>
  <c r="G46" i="10" s="1"/>
  <c r="I46" i="10" s="1"/>
  <c r="D9" i="10" s="1"/>
  <c r="H45" i="10"/>
  <c r="G45" i="10" s="1"/>
  <c r="I45" i="10" s="1"/>
  <c r="D8" i="10" s="1"/>
  <c r="H44" i="10"/>
  <c r="G44" i="10" s="1"/>
  <c r="I44" i="10" s="1"/>
  <c r="D7" i="10" s="1"/>
  <c r="H43" i="10"/>
  <c r="G43" i="10" s="1"/>
  <c r="I43" i="10" s="1"/>
  <c r="D6" i="10" s="1"/>
  <c r="H42" i="10"/>
  <c r="G42" i="10" s="1"/>
  <c r="I42" i="10" s="1"/>
  <c r="D5" i="10" s="1"/>
  <c r="H41" i="10"/>
  <c r="G41" i="10" s="1"/>
  <c r="I41" i="10" s="1"/>
  <c r="D4" i="10" s="1"/>
  <c r="D19" i="10" s="1"/>
  <c r="H55" i="11"/>
  <c r="G55" i="11" s="1"/>
  <c r="I55" i="11" s="1"/>
  <c r="D18" i="11" s="1"/>
  <c r="H54" i="11"/>
  <c r="G54" i="11" s="1"/>
  <c r="I54" i="11" s="1"/>
  <c r="D17" i="11" s="1"/>
  <c r="H53" i="11"/>
  <c r="G53" i="11" s="1"/>
  <c r="I53" i="11" s="1"/>
  <c r="D16" i="11" s="1"/>
  <c r="H52" i="11"/>
  <c r="G52" i="11" s="1"/>
  <c r="I52" i="11" s="1"/>
  <c r="D15" i="11" s="1"/>
  <c r="H51" i="11"/>
  <c r="G51" i="11" s="1"/>
  <c r="I51" i="11" s="1"/>
  <c r="D14" i="11" s="1"/>
  <c r="H50" i="11"/>
  <c r="G50" i="11" s="1"/>
  <c r="I50" i="11" s="1"/>
  <c r="D13" i="11" s="1"/>
  <c r="H49" i="11"/>
  <c r="G49" i="11" s="1"/>
  <c r="I49" i="11" s="1"/>
  <c r="D12" i="11" s="1"/>
  <c r="H48" i="11"/>
  <c r="G48" i="11" s="1"/>
  <c r="I48" i="11" s="1"/>
  <c r="D11" i="11" s="1"/>
  <c r="H47" i="11"/>
  <c r="G47" i="11" s="1"/>
  <c r="I47" i="11" s="1"/>
  <c r="D10" i="11" s="1"/>
  <c r="H46" i="11"/>
  <c r="G46" i="11" s="1"/>
  <c r="I46" i="11" s="1"/>
  <c r="D9" i="11" s="1"/>
  <c r="H45" i="11"/>
  <c r="G45" i="11" s="1"/>
  <c r="I45" i="11" s="1"/>
  <c r="D8" i="11" s="1"/>
  <c r="H44" i="11"/>
  <c r="G44" i="11" s="1"/>
  <c r="I44" i="11" s="1"/>
  <c r="D7" i="11" s="1"/>
  <c r="H43" i="11"/>
  <c r="G43" i="11" s="1"/>
  <c r="I43" i="11" s="1"/>
  <c r="D6" i="11" s="1"/>
  <c r="H42" i="11"/>
  <c r="G42" i="11" s="1"/>
  <c r="I42" i="11" s="1"/>
  <c r="D5" i="11" s="1"/>
  <c r="H41" i="11"/>
  <c r="G41" i="11" s="1"/>
  <c r="I41" i="11" s="1"/>
  <c r="D4" i="11" s="1"/>
  <c r="D19" i="11" s="1"/>
  <c r="H55" i="12"/>
  <c r="G55" i="12" s="1"/>
  <c r="I55" i="12" s="1"/>
  <c r="D18" i="12" s="1"/>
  <c r="H54" i="12"/>
  <c r="G54" i="12" s="1"/>
  <c r="I54" i="12" s="1"/>
  <c r="D17" i="12" s="1"/>
  <c r="H53" i="12"/>
  <c r="G53" i="12" s="1"/>
  <c r="I53" i="12" s="1"/>
  <c r="D16" i="12" s="1"/>
  <c r="H52" i="12"/>
  <c r="G52" i="12" s="1"/>
  <c r="I52" i="12" s="1"/>
  <c r="D15" i="12" s="1"/>
  <c r="H51" i="12"/>
  <c r="G51" i="12" s="1"/>
  <c r="I51" i="12" s="1"/>
  <c r="D14" i="12" s="1"/>
  <c r="H50" i="12"/>
  <c r="G50" i="12" s="1"/>
  <c r="I50" i="12" s="1"/>
  <c r="D13" i="12" s="1"/>
  <c r="H49" i="12"/>
  <c r="G49" i="12" s="1"/>
  <c r="I49" i="12" s="1"/>
  <c r="D12" i="12" s="1"/>
  <c r="H48" i="12"/>
  <c r="G48" i="12" s="1"/>
  <c r="I48" i="12" s="1"/>
  <c r="D11" i="12" s="1"/>
  <c r="H47" i="12"/>
  <c r="G47" i="12" s="1"/>
  <c r="I47" i="12" s="1"/>
  <c r="D10" i="12" s="1"/>
  <c r="H46" i="12"/>
  <c r="G46" i="12" s="1"/>
  <c r="I46" i="12" s="1"/>
  <c r="D9" i="12" s="1"/>
  <c r="H45" i="12"/>
  <c r="G45" i="12" s="1"/>
  <c r="I45" i="12" s="1"/>
  <c r="D8" i="12" s="1"/>
  <c r="H44" i="12"/>
  <c r="G44" i="12" s="1"/>
  <c r="I44" i="12" s="1"/>
  <c r="D7" i="12" s="1"/>
  <c r="H43" i="12"/>
  <c r="G43" i="12" s="1"/>
  <c r="I43" i="12" s="1"/>
  <c r="D6" i="12" s="1"/>
  <c r="H42" i="12"/>
  <c r="G42" i="12" s="1"/>
  <c r="I42" i="12" s="1"/>
  <c r="D5" i="12" s="1"/>
  <c r="H41" i="12"/>
  <c r="G41" i="12" s="1"/>
  <c r="I41" i="12" s="1"/>
  <c r="D4" i="12" s="1"/>
  <c r="D19" i="12" s="1"/>
  <c r="H55" i="13"/>
  <c r="G55" i="13" s="1"/>
  <c r="I55" i="13" s="1"/>
  <c r="D18" i="13" s="1"/>
  <c r="H54" i="13"/>
  <c r="G54" i="13" s="1"/>
  <c r="I54" i="13" s="1"/>
  <c r="D17" i="13" s="1"/>
  <c r="H53" i="13"/>
  <c r="G53" i="13" s="1"/>
  <c r="I53" i="13" s="1"/>
  <c r="D16" i="13" s="1"/>
  <c r="H52" i="13"/>
  <c r="G52" i="13" s="1"/>
  <c r="I52" i="13" s="1"/>
  <c r="D15" i="13" s="1"/>
  <c r="H51" i="13"/>
  <c r="G51" i="13" s="1"/>
  <c r="I51" i="13" s="1"/>
  <c r="D14" i="13" s="1"/>
  <c r="H50" i="13"/>
  <c r="G50" i="13" s="1"/>
  <c r="I50" i="13" s="1"/>
  <c r="D13" i="13" s="1"/>
  <c r="H49" i="13"/>
  <c r="G49" i="13" s="1"/>
  <c r="I49" i="13" s="1"/>
  <c r="D12" i="13" s="1"/>
  <c r="H48" i="13"/>
  <c r="G48" i="13" s="1"/>
  <c r="I48" i="13" s="1"/>
  <c r="D11" i="13" s="1"/>
  <c r="H47" i="13"/>
  <c r="G47" i="13" s="1"/>
  <c r="I47" i="13" s="1"/>
  <c r="D10" i="13" s="1"/>
  <c r="H46" i="13"/>
  <c r="G46" i="13" s="1"/>
  <c r="I46" i="13" s="1"/>
  <c r="D9" i="13" s="1"/>
  <c r="H45" i="13"/>
  <c r="G45" i="13" s="1"/>
  <c r="I45" i="13" s="1"/>
  <c r="D8" i="13" s="1"/>
  <c r="H44" i="13"/>
  <c r="G44" i="13" s="1"/>
  <c r="I44" i="13" s="1"/>
  <c r="D7" i="13" s="1"/>
  <c r="H43" i="13"/>
  <c r="G43" i="13" s="1"/>
  <c r="I43" i="13" s="1"/>
  <c r="D6" i="13" s="1"/>
  <c r="H42" i="13"/>
  <c r="G42" i="13" s="1"/>
  <c r="I42" i="13" s="1"/>
  <c r="D5" i="13" s="1"/>
  <c r="H41" i="13"/>
  <c r="G41" i="13" s="1"/>
  <c r="I41" i="13" s="1"/>
  <c r="D4" i="13" s="1"/>
  <c r="D19" i="13" s="1"/>
  <c r="H55" i="14"/>
  <c r="G55" i="14" s="1"/>
  <c r="I55" i="14" s="1"/>
  <c r="D18" i="14" s="1"/>
  <c r="H54" i="14"/>
  <c r="G54" i="14" s="1"/>
  <c r="I54" i="14" s="1"/>
  <c r="D17" i="14" s="1"/>
  <c r="H53" i="14"/>
  <c r="G53" i="14" s="1"/>
  <c r="I53" i="14" s="1"/>
  <c r="D16" i="14" s="1"/>
  <c r="H52" i="14"/>
  <c r="G52" i="14" s="1"/>
  <c r="I52" i="14" s="1"/>
  <c r="D15" i="14" s="1"/>
  <c r="H51" i="14"/>
  <c r="G51" i="14" s="1"/>
  <c r="I51" i="14" s="1"/>
  <c r="D14" i="14" s="1"/>
  <c r="H50" i="14"/>
  <c r="G50" i="14" s="1"/>
  <c r="I50" i="14" s="1"/>
  <c r="D13" i="14" s="1"/>
  <c r="H49" i="14"/>
  <c r="G49" i="14" s="1"/>
  <c r="I49" i="14" s="1"/>
  <c r="D12" i="14" s="1"/>
  <c r="H48" i="14"/>
  <c r="G48" i="14" s="1"/>
  <c r="I48" i="14" s="1"/>
  <c r="D11" i="14" s="1"/>
  <c r="H47" i="14"/>
  <c r="G47" i="14" s="1"/>
  <c r="I47" i="14" s="1"/>
  <c r="D10" i="14" s="1"/>
  <c r="H46" i="14"/>
  <c r="G46" i="14" s="1"/>
  <c r="I46" i="14" s="1"/>
  <c r="D9" i="14" s="1"/>
  <c r="H45" i="14"/>
  <c r="G45" i="14" s="1"/>
  <c r="I45" i="14" s="1"/>
  <c r="D8" i="14" s="1"/>
  <c r="H44" i="14"/>
  <c r="G44" i="14" s="1"/>
  <c r="I44" i="14" s="1"/>
  <c r="D7" i="14" s="1"/>
  <c r="H43" i="14"/>
  <c r="G43" i="14" s="1"/>
  <c r="I43" i="14" s="1"/>
  <c r="D6" i="14" s="1"/>
  <c r="H42" i="14"/>
  <c r="G42" i="14" s="1"/>
  <c r="I42" i="14" s="1"/>
  <c r="D5" i="14" s="1"/>
  <c r="H41" i="14"/>
  <c r="G41" i="14" s="1"/>
  <c r="I41" i="14" s="1"/>
  <c r="D4" i="14" s="1"/>
  <c r="D19" i="14" s="1"/>
  <c r="H55" i="15"/>
  <c r="G55" i="15" s="1"/>
  <c r="I55" i="15" s="1"/>
  <c r="D18" i="15" s="1"/>
  <c r="H54" i="15"/>
  <c r="G54" i="15" s="1"/>
  <c r="I54" i="15" s="1"/>
  <c r="D17" i="15" s="1"/>
  <c r="H53" i="15"/>
  <c r="G53" i="15" s="1"/>
  <c r="I53" i="15" s="1"/>
  <c r="D16" i="15" s="1"/>
  <c r="H52" i="15"/>
  <c r="G52" i="15" s="1"/>
  <c r="I52" i="15" s="1"/>
  <c r="D15" i="15" s="1"/>
  <c r="H51" i="15"/>
  <c r="G51" i="15" s="1"/>
  <c r="I51" i="15" s="1"/>
  <c r="D14" i="15" s="1"/>
  <c r="H50" i="15"/>
  <c r="G50" i="15" s="1"/>
  <c r="I50" i="15" s="1"/>
  <c r="D13" i="15" s="1"/>
  <c r="H49" i="15"/>
  <c r="G49" i="15" s="1"/>
  <c r="I49" i="15" s="1"/>
  <c r="D12" i="15" s="1"/>
  <c r="H48" i="15"/>
  <c r="G48" i="15" s="1"/>
  <c r="I48" i="15" s="1"/>
  <c r="D11" i="15" s="1"/>
  <c r="H47" i="15"/>
  <c r="G47" i="15" s="1"/>
  <c r="I47" i="15" s="1"/>
  <c r="D10" i="15" s="1"/>
  <c r="H46" i="15"/>
  <c r="G46" i="15" s="1"/>
  <c r="I46" i="15" s="1"/>
  <c r="D9" i="15" s="1"/>
  <c r="H45" i="15"/>
  <c r="G45" i="15" s="1"/>
  <c r="I45" i="15" s="1"/>
  <c r="D8" i="15" s="1"/>
  <c r="H44" i="15"/>
  <c r="G44" i="15" s="1"/>
  <c r="I44" i="15" s="1"/>
  <c r="D7" i="15" s="1"/>
  <c r="H43" i="15"/>
  <c r="G43" i="15" s="1"/>
  <c r="I43" i="15" s="1"/>
  <c r="D6" i="15" s="1"/>
  <c r="H42" i="15"/>
  <c r="G42" i="15" s="1"/>
  <c r="I42" i="15" s="1"/>
  <c r="D5" i="15" s="1"/>
  <c r="H41" i="15"/>
  <c r="G41" i="15" s="1"/>
  <c r="I41" i="15" s="1"/>
  <c r="D4" i="15" s="1"/>
  <c r="D19" i="15" s="1"/>
  <c r="H55" i="16"/>
  <c r="G55" i="16" s="1"/>
  <c r="I55" i="16" s="1"/>
  <c r="D18" i="16" s="1"/>
  <c r="H54" i="16"/>
  <c r="G54" i="16" s="1"/>
  <c r="I54" i="16" s="1"/>
  <c r="D17" i="16" s="1"/>
  <c r="H53" i="16"/>
  <c r="G53" i="16" s="1"/>
  <c r="I53" i="16" s="1"/>
  <c r="D16" i="16" s="1"/>
  <c r="H52" i="16"/>
  <c r="G52" i="16" s="1"/>
  <c r="I52" i="16" s="1"/>
  <c r="D15" i="16" s="1"/>
  <c r="H51" i="16"/>
  <c r="G51" i="16" s="1"/>
  <c r="I51" i="16" s="1"/>
  <c r="D14" i="16" s="1"/>
  <c r="H50" i="16"/>
  <c r="G50" i="16" s="1"/>
  <c r="I50" i="16" s="1"/>
  <c r="D13" i="16" s="1"/>
  <c r="H49" i="16"/>
  <c r="G49" i="16" s="1"/>
  <c r="I49" i="16" s="1"/>
  <c r="D12" i="16" s="1"/>
  <c r="H48" i="16"/>
  <c r="G48" i="16" s="1"/>
  <c r="I48" i="16" s="1"/>
  <c r="D11" i="16" s="1"/>
  <c r="H47" i="16"/>
  <c r="G47" i="16" s="1"/>
  <c r="I47" i="16" s="1"/>
  <c r="D10" i="16" s="1"/>
  <c r="H46" i="16"/>
  <c r="G46" i="16" s="1"/>
  <c r="I46" i="16" s="1"/>
  <c r="D9" i="16" s="1"/>
  <c r="H45" i="16"/>
  <c r="G45" i="16" s="1"/>
  <c r="I45" i="16" s="1"/>
  <c r="D8" i="16" s="1"/>
  <c r="H44" i="16"/>
  <c r="G44" i="16" s="1"/>
  <c r="I44" i="16" s="1"/>
  <c r="D7" i="16" s="1"/>
  <c r="H43" i="16"/>
  <c r="G43" i="16" s="1"/>
  <c r="I43" i="16" s="1"/>
  <c r="D6" i="16" s="1"/>
  <c r="H42" i="16"/>
  <c r="G42" i="16" s="1"/>
  <c r="I42" i="16" s="1"/>
  <c r="D5" i="16" s="1"/>
  <c r="H41" i="16"/>
  <c r="G41" i="16" s="1"/>
  <c r="I41" i="16" s="1"/>
  <c r="D4" i="16" s="1"/>
  <c r="D19" i="16" s="1"/>
  <c r="H55" i="17"/>
  <c r="G55" i="17" s="1"/>
  <c r="I55" i="17" s="1"/>
  <c r="D18" i="17" s="1"/>
  <c r="H54" i="17"/>
  <c r="G54" i="17" s="1"/>
  <c r="I54" i="17" s="1"/>
  <c r="D17" i="17" s="1"/>
  <c r="H53" i="17"/>
  <c r="G53" i="17" s="1"/>
  <c r="I53" i="17" s="1"/>
  <c r="D16" i="17" s="1"/>
  <c r="H52" i="17"/>
  <c r="G52" i="17" s="1"/>
  <c r="I52" i="17" s="1"/>
  <c r="D15" i="17" s="1"/>
  <c r="H51" i="17"/>
  <c r="G51" i="17" s="1"/>
  <c r="I51" i="17" s="1"/>
  <c r="D14" i="17" s="1"/>
  <c r="H50" i="17"/>
  <c r="G50" i="17" s="1"/>
  <c r="I50" i="17" s="1"/>
  <c r="D13" i="17" s="1"/>
  <c r="H49" i="17"/>
  <c r="G49" i="17" s="1"/>
  <c r="I49" i="17" s="1"/>
  <c r="D12" i="17" s="1"/>
  <c r="H48" i="17"/>
  <c r="G48" i="17" s="1"/>
  <c r="I48" i="17" s="1"/>
  <c r="D11" i="17" s="1"/>
  <c r="H47" i="17"/>
  <c r="G47" i="17" s="1"/>
  <c r="I47" i="17" s="1"/>
  <c r="D10" i="17" s="1"/>
  <c r="H46" i="17"/>
  <c r="G46" i="17" s="1"/>
  <c r="I46" i="17" s="1"/>
  <c r="D9" i="17" s="1"/>
  <c r="H45" i="17"/>
  <c r="G45" i="17" s="1"/>
  <c r="I45" i="17" s="1"/>
  <c r="D8" i="17" s="1"/>
  <c r="H44" i="17"/>
  <c r="G44" i="17" s="1"/>
  <c r="I44" i="17" s="1"/>
  <c r="D7" i="17" s="1"/>
  <c r="H43" i="17"/>
  <c r="G43" i="17" s="1"/>
  <c r="I43" i="17" s="1"/>
  <c r="D6" i="17" s="1"/>
  <c r="H42" i="17"/>
  <c r="G42" i="17" s="1"/>
  <c r="I42" i="17" s="1"/>
  <c r="D5" i="17" s="1"/>
  <c r="H41" i="17"/>
  <c r="G41" i="17" s="1"/>
  <c r="I41" i="17" s="1"/>
  <c r="D4" i="17" s="1"/>
  <c r="D19" i="17" s="1"/>
  <c r="H55" i="18"/>
  <c r="G55" i="18" s="1"/>
  <c r="I55" i="18" s="1"/>
  <c r="D18" i="18" s="1"/>
  <c r="H54" i="18"/>
  <c r="G54" i="18" s="1"/>
  <c r="I54" i="18" s="1"/>
  <c r="D17" i="18" s="1"/>
  <c r="H53" i="18"/>
  <c r="G53" i="18" s="1"/>
  <c r="I53" i="18" s="1"/>
  <c r="D16" i="18" s="1"/>
  <c r="H52" i="18"/>
  <c r="G52" i="18" s="1"/>
  <c r="I52" i="18" s="1"/>
  <c r="D15" i="18" s="1"/>
  <c r="H51" i="18"/>
  <c r="G51" i="18" s="1"/>
  <c r="I51" i="18" s="1"/>
  <c r="D14" i="18" s="1"/>
  <c r="H50" i="18"/>
  <c r="G50" i="18" s="1"/>
  <c r="I50" i="18" s="1"/>
  <c r="D13" i="18" s="1"/>
  <c r="H49" i="18"/>
  <c r="G49" i="18" s="1"/>
  <c r="I49" i="18" s="1"/>
  <c r="D12" i="18" s="1"/>
  <c r="H48" i="18"/>
  <c r="G48" i="18" s="1"/>
  <c r="I48" i="18" s="1"/>
  <c r="D11" i="18" s="1"/>
  <c r="H47" i="18"/>
  <c r="G47" i="18" s="1"/>
  <c r="I47" i="18" s="1"/>
  <c r="D10" i="18" s="1"/>
  <c r="H46" i="18"/>
  <c r="G46" i="18" s="1"/>
  <c r="I46" i="18" s="1"/>
  <c r="D9" i="18" s="1"/>
  <c r="H45" i="18"/>
  <c r="G45" i="18" s="1"/>
  <c r="I45" i="18" s="1"/>
  <c r="D8" i="18" s="1"/>
  <c r="H44" i="18"/>
  <c r="G44" i="18" s="1"/>
  <c r="I44" i="18" s="1"/>
  <c r="D7" i="18" s="1"/>
  <c r="H43" i="18"/>
  <c r="G43" i="18" s="1"/>
  <c r="I43" i="18" s="1"/>
  <c r="D6" i="18" s="1"/>
  <c r="H42" i="18"/>
  <c r="G42" i="18" s="1"/>
  <c r="I42" i="18" s="1"/>
  <c r="D5" i="18" s="1"/>
  <c r="H41" i="18"/>
  <c r="G41" i="18" s="1"/>
  <c r="I41" i="18" s="1"/>
  <c r="D4" i="18" s="1"/>
  <c r="D19" i="18" s="1"/>
  <c r="H55" i="19"/>
  <c r="G55" i="19" s="1"/>
  <c r="I55" i="19" s="1"/>
  <c r="D18" i="19" s="1"/>
  <c r="H54" i="19"/>
  <c r="G54" i="19" s="1"/>
  <c r="I54" i="19" s="1"/>
  <c r="D17" i="19" s="1"/>
  <c r="H53" i="19"/>
  <c r="G53" i="19" s="1"/>
  <c r="I53" i="19" s="1"/>
  <c r="D16" i="19" s="1"/>
  <c r="H52" i="19"/>
  <c r="G52" i="19" s="1"/>
  <c r="I52" i="19" s="1"/>
  <c r="D15" i="19" s="1"/>
  <c r="H51" i="19"/>
  <c r="G51" i="19" s="1"/>
  <c r="I51" i="19" s="1"/>
  <c r="D14" i="19" s="1"/>
  <c r="H50" i="19"/>
  <c r="G50" i="19" s="1"/>
  <c r="I50" i="19" s="1"/>
  <c r="D13" i="19" s="1"/>
  <c r="H49" i="19"/>
  <c r="G49" i="19" s="1"/>
  <c r="I49" i="19" s="1"/>
  <c r="D12" i="19" s="1"/>
  <c r="H48" i="19"/>
  <c r="G48" i="19" s="1"/>
  <c r="I48" i="19" s="1"/>
  <c r="D11" i="19" s="1"/>
  <c r="H47" i="19"/>
  <c r="G47" i="19" s="1"/>
  <c r="I47" i="19" s="1"/>
  <c r="D10" i="19" s="1"/>
  <c r="H46" i="19"/>
  <c r="G46" i="19" s="1"/>
  <c r="I46" i="19" s="1"/>
  <c r="D9" i="19" s="1"/>
  <c r="H45" i="19"/>
  <c r="G45" i="19" s="1"/>
  <c r="I45" i="19" s="1"/>
  <c r="D8" i="19" s="1"/>
  <c r="H44" i="19"/>
  <c r="G44" i="19" s="1"/>
  <c r="I44" i="19" s="1"/>
  <c r="D7" i="19" s="1"/>
  <c r="H43" i="19"/>
  <c r="G43" i="19" s="1"/>
  <c r="I43" i="19" s="1"/>
  <c r="D6" i="19" s="1"/>
  <c r="H42" i="19"/>
  <c r="G42" i="19" s="1"/>
  <c r="I42" i="19" s="1"/>
  <c r="D5" i="19" s="1"/>
  <c r="H41" i="19"/>
  <c r="G41" i="19" s="1"/>
  <c r="I41" i="19" s="1"/>
  <c r="D4" i="19" s="1"/>
  <c r="D19" i="19" s="1"/>
  <c r="H55" i="20"/>
  <c r="G55" i="20" s="1"/>
  <c r="I55" i="20" s="1"/>
  <c r="D18" i="20" s="1"/>
  <c r="H54" i="20"/>
  <c r="G54" i="20" s="1"/>
  <c r="I54" i="20" s="1"/>
  <c r="D17" i="20" s="1"/>
  <c r="H53" i="20"/>
  <c r="G53" i="20" s="1"/>
  <c r="I53" i="20" s="1"/>
  <c r="D16" i="20" s="1"/>
  <c r="H52" i="20"/>
  <c r="G52" i="20" s="1"/>
  <c r="I52" i="20" s="1"/>
  <c r="D15" i="20" s="1"/>
  <c r="H51" i="20"/>
  <c r="G51" i="20" s="1"/>
  <c r="I51" i="20" s="1"/>
  <c r="D14" i="20" s="1"/>
  <c r="H50" i="20"/>
  <c r="G50" i="20" s="1"/>
  <c r="I50" i="20" s="1"/>
  <c r="D13" i="20" s="1"/>
  <c r="H49" i="20"/>
  <c r="G49" i="20" s="1"/>
  <c r="I49" i="20" s="1"/>
  <c r="D12" i="20" s="1"/>
  <c r="H48" i="20"/>
  <c r="G48" i="20" s="1"/>
  <c r="I48" i="20" s="1"/>
  <c r="D11" i="20" s="1"/>
  <c r="H47" i="20"/>
  <c r="G47" i="20" s="1"/>
  <c r="I47" i="20" s="1"/>
  <c r="D10" i="20" s="1"/>
  <c r="H46" i="20"/>
  <c r="G46" i="20" s="1"/>
  <c r="I46" i="20" s="1"/>
  <c r="D9" i="20" s="1"/>
  <c r="H45" i="20"/>
  <c r="G45" i="20" s="1"/>
  <c r="I45" i="20" s="1"/>
  <c r="D8" i="20" s="1"/>
  <c r="H44" i="20"/>
  <c r="G44" i="20" s="1"/>
  <c r="I44" i="20" s="1"/>
  <c r="D7" i="20" s="1"/>
  <c r="H43" i="20"/>
  <c r="G43" i="20" s="1"/>
  <c r="I43" i="20" s="1"/>
  <c r="D6" i="20" s="1"/>
  <c r="H42" i="20"/>
  <c r="G42" i="20" s="1"/>
  <c r="I42" i="20" s="1"/>
  <c r="D5" i="20" s="1"/>
  <c r="H41" i="20"/>
  <c r="G41" i="20" s="1"/>
  <c r="I41" i="20" s="1"/>
  <c r="D4" i="20" s="1"/>
  <c r="D19" i="20" s="1"/>
  <c r="H55" i="21"/>
  <c r="G55" i="21" s="1"/>
  <c r="I55" i="21" s="1"/>
  <c r="D18" i="21" s="1"/>
  <c r="H54" i="21"/>
  <c r="G54" i="21" s="1"/>
  <c r="I54" i="21" s="1"/>
  <c r="D17" i="21" s="1"/>
  <c r="H53" i="21"/>
  <c r="G53" i="21" s="1"/>
  <c r="I53" i="21" s="1"/>
  <c r="D16" i="21" s="1"/>
  <c r="H52" i="21"/>
  <c r="G52" i="21" s="1"/>
  <c r="I52" i="21" s="1"/>
  <c r="D15" i="21" s="1"/>
  <c r="H51" i="21"/>
  <c r="G51" i="21" s="1"/>
  <c r="I51" i="21" s="1"/>
  <c r="D14" i="21" s="1"/>
  <c r="H50" i="21"/>
  <c r="G50" i="21" s="1"/>
  <c r="I50" i="21" s="1"/>
  <c r="D13" i="21" s="1"/>
  <c r="H49" i="21"/>
  <c r="G49" i="21" s="1"/>
  <c r="I49" i="21" s="1"/>
  <c r="D12" i="21" s="1"/>
  <c r="H48" i="21"/>
  <c r="G48" i="21" s="1"/>
  <c r="I48" i="21" s="1"/>
  <c r="D11" i="21" s="1"/>
  <c r="H47" i="21"/>
  <c r="G47" i="21" s="1"/>
  <c r="I47" i="21" s="1"/>
  <c r="D10" i="21" s="1"/>
  <c r="H46" i="21"/>
  <c r="G46" i="21" s="1"/>
  <c r="I46" i="21" s="1"/>
  <c r="D9" i="21" s="1"/>
  <c r="H45" i="21"/>
  <c r="G45" i="21" s="1"/>
  <c r="I45" i="21" s="1"/>
  <c r="D8" i="21" s="1"/>
  <c r="H44" i="21"/>
  <c r="G44" i="21" s="1"/>
  <c r="I44" i="21" s="1"/>
  <c r="D7" i="21" s="1"/>
  <c r="H43" i="21"/>
  <c r="G43" i="21" s="1"/>
  <c r="I43" i="21" s="1"/>
  <c r="D6" i="21" s="1"/>
  <c r="H42" i="21"/>
  <c r="G42" i="21" s="1"/>
  <c r="I42" i="21" s="1"/>
  <c r="D5" i="21" s="1"/>
  <c r="H41" i="21"/>
  <c r="G41" i="21" s="1"/>
  <c r="I41" i="21" s="1"/>
  <c r="D4" i="21" s="1"/>
  <c r="D19" i="21" s="1"/>
  <c r="H55" i="22"/>
  <c r="G55" i="22" s="1"/>
  <c r="I55" i="22" s="1"/>
  <c r="D18" i="22" s="1"/>
  <c r="H54" i="22"/>
  <c r="G54" i="22" s="1"/>
  <c r="I54" i="22" s="1"/>
  <c r="D17" i="22" s="1"/>
  <c r="H53" i="22"/>
  <c r="G53" i="22" s="1"/>
  <c r="I53" i="22" s="1"/>
  <c r="D16" i="22" s="1"/>
  <c r="H52" i="22"/>
  <c r="G52" i="22" s="1"/>
  <c r="I52" i="22" s="1"/>
  <c r="D15" i="22" s="1"/>
  <c r="H51" i="22"/>
  <c r="G51" i="22" s="1"/>
  <c r="I51" i="22" s="1"/>
  <c r="D14" i="22" s="1"/>
  <c r="H50" i="22"/>
  <c r="G50" i="22" s="1"/>
  <c r="I50" i="22" s="1"/>
  <c r="D13" i="22" s="1"/>
  <c r="H49" i="22"/>
  <c r="G49" i="22" s="1"/>
  <c r="I49" i="22" s="1"/>
  <c r="D12" i="22" s="1"/>
  <c r="H48" i="22"/>
  <c r="G48" i="22" s="1"/>
  <c r="I48" i="22" s="1"/>
  <c r="D11" i="22" s="1"/>
  <c r="H47" i="22"/>
  <c r="G47" i="22" s="1"/>
  <c r="I47" i="22" s="1"/>
  <c r="D10" i="22" s="1"/>
  <c r="H46" i="22"/>
  <c r="G46" i="22" s="1"/>
  <c r="I46" i="22" s="1"/>
  <c r="D9" i="22" s="1"/>
  <c r="H45" i="22"/>
  <c r="G45" i="22" s="1"/>
  <c r="I45" i="22" s="1"/>
  <c r="D8" i="22" s="1"/>
  <c r="H44" i="22"/>
  <c r="G44" i="22" s="1"/>
  <c r="I44" i="22" s="1"/>
  <c r="D7" i="22" s="1"/>
  <c r="H43" i="22"/>
  <c r="G43" i="22" s="1"/>
  <c r="I43" i="22" s="1"/>
  <c r="D6" i="22" s="1"/>
  <c r="H42" i="22"/>
  <c r="G42" i="22" s="1"/>
  <c r="I42" i="22" s="1"/>
  <c r="D5" i="22" s="1"/>
  <c r="H41" i="22"/>
  <c r="G41" i="22" s="1"/>
  <c r="I41" i="22" s="1"/>
  <c r="D4" i="22" s="1"/>
  <c r="D19" i="22" s="1"/>
  <c r="H55" i="23"/>
  <c r="G55" i="23" s="1"/>
  <c r="I55" i="23" s="1"/>
  <c r="D18" i="23" s="1"/>
  <c r="H54" i="23"/>
  <c r="G54" i="23" s="1"/>
  <c r="I54" i="23" s="1"/>
  <c r="D17" i="23" s="1"/>
  <c r="H53" i="23"/>
  <c r="G53" i="23" s="1"/>
  <c r="I53" i="23" s="1"/>
  <c r="D16" i="23" s="1"/>
  <c r="H52" i="23"/>
  <c r="G52" i="23" s="1"/>
  <c r="I52" i="23" s="1"/>
  <c r="D15" i="23" s="1"/>
  <c r="H51" i="23"/>
  <c r="G51" i="23" s="1"/>
  <c r="I51" i="23" s="1"/>
  <c r="D14" i="23" s="1"/>
  <c r="H50" i="23"/>
  <c r="G50" i="23" s="1"/>
  <c r="I50" i="23" s="1"/>
  <c r="D13" i="23" s="1"/>
  <c r="H49" i="23"/>
  <c r="G49" i="23" s="1"/>
  <c r="I49" i="23" s="1"/>
  <c r="D12" i="23" s="1"/>
  <c r="H48" i="23"/>
  <c r="G48" i="23" s="1"/>
  <c r="I48" i="23" s="1"/>
  <c r="D11" i="23" s="1"/>
  <c r="H47" i="23"/>
  <c r="G47" i="23" s="1"/>
  <c r="I47" i="23" s="1"/>
  <c r="D10" i="23" s="1"/>
  <c r="H46" i="23"/>
  <c r="G46" i="23" s="1"/>
  <c r="I46" i="23" s="1"/>
  <c r="D9" i="23" s="1"/>
  <c r="H45" i="23"/>
  <c r="G45" i="23" s="1"/>
  <c r="I45" i="23" s="1"/>
  <c r="D8" i="23" s="1"/>
  <c r="H44" i="23"/>
  <c r="G44" i="23" s="1"/>
  <c r="I44" i="23" s="1"/>
  <c r="D7" i="23" s="1"/>
  <c r="H43" i="23"/>
  <c r="G43" i="23" s="1"/>
  <c r="I43" i="23" s="1"/>
  <c r="D6" i="23" s="1"/>
  <c r="H42" i="23"/>
  <c r="G42" i="23" s="1"/>
  <c r="I42" i="23" s="1"/>
  <c r="D5" i="23" s="1"/>
  <c r="H41" i="23"/>
  <c r="G41" i="23" s="1"/>
  <c r="I41" i="23" s="1"/>
  <c r="D4" i="23" s="1"/>
  <c r="D19" i="23" s="1"/>
  <c r="H55" i="24"/>
  <c r="G55" i="24" s="1"/>
  <c r="I55" i="24" s="1"/>
  <c r="D18" i="24" s="1"/>
  <c r="H54" i="24"/>
  <c r="G54" i="24" s="1"/>
  <c r="I54" i="24" s="1"/>
  <c r="D17" i="24" s="1"/>
  <c r="H53" i="24"/>
  <c r="G53" i="24" s="1"/>
  <c r="I53" i="24" s="1"/>
  <c r="D16" i="24" s="1"/>
  <c r="H52" i="24"/>
  <c r="G52" i="24" s="1"/>
  <c r="I52" i="24" s="1"/>
  <c r="D15" i="24" s="1"/>
  <c r="H51" i="24"/>
  <c r="G51" i="24" s="1"/>
  <c r="I51" i="24" s="1"/>
  <c r="D14" i="24" s="1"/>
  <c r="H50" i="24"/>
  <c r="G50" i="24" s="1"/>
  <c r="I50" i="24" s="1"/>
  <c r="D13" i="24" s="1"/>
  <c r="H49" i="24"/>
  <c r="G49" i="24" s="1"/>
  <c r="I49" i="24" s="1"/>
  <c r="D12" i="24" s="1"/>
  <c r="H48" i="24"/>
  <c r="G48" i="24" s="1"/>
  <c r="I48" i="24" s="1"/>
  <c r="D11" i="24" s="1"/>
  <c r="H47" i="24"/>
  <c r="G47" i="24" s="1"/>
  <c r="I47" i="24" s="1"/>
  <c r="D10" i="24" s="1"/>
  <c r="H46" i="24"/>
  <c r="G46" i="24" s="1"/>
  <c r="I46" i="24" s="1"/>
  <c r="D9" i="24" s="1"/>
  <c r="H45" i="24"/>
  <c r="G45" i="24" s="1"/>
  <c r="I45" i="24" s="1"/>
  <c r="D8" i="24" s="1"/>
  <c r="H44" i="24"/>
  <c r="G44" i="24" s="1"/>
  <c r="I44" i="24" s="1"/>
  <c r="D7" i="24" s="1"/>
  <c r="H43" i="24"/>
  <c r="G43" i="24" s="1"/>
  <c r="I43" i="24" s="1"/>
  <c r="D6" i="24" s="1"/>
  <c r="H42" i="24"/>
  <c r="G42" i="24" s="1"/>
  <c r="I42" i="24" s="1"/>
  <c r="D5" i="24" s="1"/>
  <c r="H41" i="24"/>
  <c r="G41" i="24" s="1"/>
  <c r="I41" i="24" s="1"/>
  <c r="D4" i="24" s="1"/>
  <c r="D19" i="24" s="1"/>
  <c r="H55" i="25"/>
  <c r="G55" i="25" s="1"/>
  <c r="I55" i="25" s="1"/>
  <c r="D18" i="25" s="1"/>
  <c r="H54" i="25"/>
  <c r="G54" i="25" s="1"/>
  <c r="I54" i="25" s="1"/>
  <c r="D17" i="25" s="1"/>
  <c r="H53" i="25"/>
  <c r="G53" i="25" s="1"/>
  <c r="I53" i="25" s="1"/>
  <c r="D16" i="25" s="1"/>
  <c r="H52" i="25"/>
  <c r="G52" i="25" s="1"/>
  <c r="I52" i="25" s="1"/>
  <c r="D15" i="25" s="1"/>
  <c r="H51" i="25"/>
  <c r="G51" i="25" s="1"/>
  <c r="I51" i="25" s="1"/>
  <c r="D14" i="25" s="1"/>
  <c r="H50" i="25"/>
  <c r="G50" i="25" s="1"/>
  <c r="I50" i="25" s="1"/>
  <c r="D13" i="25" s="1"/>
  <c r="H49" i="25"/>
  <c r="G49" i="25" s="1"/>
  <c r="I49" i="25" s="1"/>
  <c r="D12" i="25" s="1"/>
  <c r="H48" i="25"/>
  <c r="G48" i="25" s="1"/>
  <c r="I48" i="25" s="1"/>
  <c r="D11" i="25" s="1"/>
  <c r="H47" i="25"/>
  <c r="G47" i="25" s="1"/>
  <c r="I47" i="25" s="1"/>
  <c r="D10" i="25" s="1"/>
  <c r="H46" i="25"/>
  <c r="G46" i="25" s="1"/>
  <c r="I46" i="25" s="1"/>
  <c r="D9" i="25" s="1"/>
  <c r="H45" i="25"/>
  <c r="G45" i="25" s="1"/>
  <c r="I45" i="25" s="1"/>
  <c r="D8" i="25" s="1"/>
  <c r="H44" i="25"/>
  <c r="G44" i="25" s="1"/>
  <c r="I44" i="25" s="1"/>
  <c r="D7" i="25" s="1"/>
  <c r="H43" i="25"/>
  <c r="G43" i="25" s="1"/>
  <c r="I43" i="25" s="1"/>
  <c r="D6" i="25" s="1"/>
  <c r="H42" i="25"/>
  <c r="G42" i="25" s="1"/>
  <c r="I42" i="25" s="1"/>
  <c r="D5" i="25" s="1"/>
  <c r="H41" i="25"/>
  <c r="G41" i="25" s="1"/>
  <c r="I41" i="25" s="1"/>
  <c r="D4" i="25" s="1"/>
  <c r="D19" i="25" s="1"/>
  <c r="H55" i="26"/>
  <c r="G55" i="26" s="1"/>
  <c r="I55" i="26" s="1"/>
  <c r="D18" i="26" s="1"/>
  <c r="H54" i="26"/>
  <c r="G54" i="26" s="1"/>
  <c r="I54" i="26" s="1"/>
  <c r="D17" i="26" s="1"/>
  <c r="H53" i="26"/>
  <c r="G53" i="26" s="1"/>
  <c r="I53" i="26" s="1"/>
  <c r="D16" i="26" s="1"/>
  <c r="H52" i="26"/>
  <c r="G52" i="26" s="1"/>
  <c r="I52" i="26" s="1"/>
  <c r="D15" i="26" s="1"/>
  <c r="H51" i="26"/>
  <c r="G51" i="26" s="1"/>
  <c r="I51" i="26" s="1"/>
  <c r="D14" i="26" s="1"/>
  <c r="H50" i="26"/>
  <c r="G50" i="26" s="1"/>
  <c r="I50" i="26" s="1"/>
  <c r="D13" i="26" s="1"/>
  <c r="H49" i="26"/>
  <c r="G49" i="26" s="1"/>
  <c r="I49" i="26" s="1"/>
  <c r="D12" i="26" s="1"/>
  <c r="H48" i="26"/>
  <c r="G48" i="26" s="1"/>
  <c r="I48" i="26" s="1"/>
  <c r="D11" i="26" s="1"/>
  <c r="H47" i="26"/>
  <c r="G47" i="26" s="1"/>
  <c r="I47" i="26" s="1"/>
  <c r="D10" i="26" s="1"/>
  <c r="H46" i="26"/>
  <c r="G46" i="26" s="1"/>
  <c r="I46" i="26" s="1"/>
  <c r="D9" i="26" s="1"/>
  <c r="H45" i="26"/>
  <c r="G45" i="26" s="1"/>
  <c r="I45" i="26" s="1"/>
  <c r="D8" i="26" s="1"/>
  <c r="H44" i="26"/>
  <c r="G44" i="26" s="1"/>
  <c r="I44" i="26" s="1"/>
  <c r="D7" i="26" s="1"/>
  <c r="H43" i="26"/>
  <c r="G43" i="26" s="1"/>
  <c r="I43" i="26" s="1"/>
  <c r="D6" i="26" s="1"/>
  <c r="H42" i="26"/>
  <c r="G42" i="26" s="1"/>
  <c r="I42" i="26" s="1"/>
  <c r="D5" i="26" s="1"/>
  <c r="H41" i="26"/>
  <c r="G41" i="26" s="1"/>
  <c r="I41" i="26" s="1"/>
  <c r="D4" i="26" s="1"/>
  <c r="D19" i="26" s="1"/>
  <c r="H55" i="27"/>
  <c r="G55" i="27" s="1"/>
  <c r="I55" i="27" s="1"/>
  <c r="D18" i="27" s="1"/>
  <c r="H54" i="27"/>
  <c r="G54" i="27" s="1"/>
  <c r="I54" i="27" s="1"/>
  <c r="D17" i="27" s="1"/>
  <c r="H53" i="27"/>
  <c r="G53" i="27" s="1"/>
  <c r="I53" i="27" s="1"/>
  <c r="D16" i="27" s="1"/>
  <c r="H52" i="27"/>
  <c r="G52" i="27" s="1"/>
  <c r="I52" i="27" s="1"/>
  <c r="D15" i="27" s="1"/>
  <c r="H51" i="27"/>
  <c r="G51" i="27" s="1"/>
  <c r="I51" i="27" s="1"/>
  <c r="D14" i="27" s="1"/>
  <c r="H50" i="27"/>
  <c r="G50" i="27" s="1"/>
  <c r="I50" i="27" s="1"/>
  <c r="D13" i="27" s="1"/>
  <c r="H49" i="27"/>
  <c r="G49" i="27" s="1"/>
  <c r="I49" i="27" s="1"/>
  <c r="D12" i="27" s="1"/>
  <c r="H48" i="27"/>
  <c r="G48" i="27" s="1"/>
  <c r="I48" i="27" s="1"/>
  <c r="D11" i="27" s="1"/>
  <c r="H47" i="27"/>
  <c r="G47" i="27" s="1"/>
  <c r="I47" i="27" s="1"/>
  <c r="D10" i="27" s="1"/>
  <c r="H46" i="27"/>
  <c r="G46" i="27" s="1"/>
  <c r="I46" i="27" s="1"/>
  <c r="D9" i="27" s="1"/>
  <c r="H45" i="27"/>
  <c r="G45" i="27" s="1"/>
  <c r="I45" i="27" s="1"/>
  <c r="D8" i="27" s="1"/>
  <c r="H44" i="27"/>
  <c r="G44" i="27" s="1"/>
  <c r="I44" i="27" s="1"/>
  <c r="D7" i="27" s="1"/>
  <c r="H43" i="27"/>
  <c r="G43" i="27" s="1"/>
  <c r="I43" i="27" s="1"/>
  <c r="D6" i="27" s="1"/>
  <c r="H42" i="27"/>
  <c r="G42" i="27" s="1"/>
  <c r="I42" i="27" s="1"/>
  <c r="D5" i="27" s="1"/>
  <c r="H41" i="27"/>
  <c r="G41" i="27" s="1"/>
  <c r="I41" i="27" s="1"/>
  <c r="D4" i="27" s="1"/>
  <c r="D19" i="27" s="1"/>
  <c r="H55" i="28"/>
  <c r="G55" i="28" s="1"/>
  <c r="I55" i="28" s="1"/>
  <c r="D18" i="28" s="1"/>
  <c r="H54" i="28"/>
  <c r="G54" i="28" s="1"/>
  <c r="I54" i="28" s="1"/>
  <c r="D17" i="28" s="1"/>
  <c r="H53" i="28"/>
  <c r="G53" i="28" s="1"/>
  <c r="I53" i="28" s="1"/>
  <c r="D16" i="28" s="1"/>
  <c r="H52" i="28"/>
  <c r="G52" i="28" s="1"/>
  <c r="I52" i="28" s="1"/>
  <c r="D15" i="28" s="1"/>
  <c r="H51" i="28"/>
  <c r="G51" i="28" s="1"/>
  <c r="I51" i="28" s="1"/>
  <c r="D14" i="28" s="1"/>
  <c r="H50" i="28"/>
  <c r="G50" i="28" s="1"/>
  <c r="I50" i="28" s="1"/>
  <c r="D13" i="28" s="1"/>
  <c r="H49" i="28"/>
  <c r="G49" i="28" s="1"/>
  <c r="I49" i="28" s="1"/>
  <c r="D12" i="28" s="1"/>
  <c r="H48" i="28"/>
  <c r="G48" i="28" s="1"/>
  <c r="I48" i="28" s="1"/>
  <c r="D11" i="28" s="1"/>
  <c r="H47" i="28"/>
  <c r="G47" i="28" s="1"/>
  <c r="I47" i="28" s="1"/>
  <c r="D10" i="28" s="1"/>
  <c r="H46" i="28"/>
  <c r="G46" i="28" s="1"/>
  <c r="I46" i="28" s="1"/>
  <c r="D9" i="28" s="1"/>
  <c r="H45" i="28"/>
  <c r="G45" i="28" s="1"/>
  <c r="I45" i="28" s="1"/>
  <c r="D8" i="28" s="1"/>
  <c r="H44" i="28"/>
  <c r="G44" i="28" s="1"/>
  <c r="I44" i="28" s="1"/>
  <c r="D7" i="28" s="1"/>
  <c r="H43" i="28"/>
  <c r="G43" i="28" s="1"/>
  <c r="I43" i="28" s="1"/>
  <c r="D6" i="28" s="1"/>
  <c r="H42" i="28"/>
  <c r="G42" i="28" s="1"/>
  <c r="I42" i="28" s="1"/>
  <c r="D5" i="28" s="1"/>
  <c r="H41" i="28"/>
  <c r="G41" i="28" s="1"/>
  <c r="I41" i="28" s="1"/>
  <c r="D4" i="28" s="1"/>
  <c r="D19" i="28" s="1"/>
  <c r="H55" i="29"/>
  <c r="G55" i="29" s="1"/>
  <c r="I55" i="29" s="1"/>
  <c r="D18" i="29" s="1"/>
  <c r="H54" i="29"/>
  <c r="G54" i="29" s="1"/>
  <c r="I54" i="29" s="1"/>
  <c r="D17" i="29" s="1"/>
  <c r="H53" i="29"/>
  <c r="G53" i="29" s="1"/>
  <c r="I53" i="29" s="1"/>
  <c r="D16" i="29" s="1"/>
  <c r="H52" i="29"/>
  <c r="G52" i="29" s="1"/>
  <c r="I52" i="29" s="1"/>
  <c r="D15" i="29" s="1"/>
  <c r="H51" i="29"/>
  <c r="G51" i="29" s="1"/>
  <c r="I51" i="29" s="1"/>
  <c r="D14" i="29" s="1"/>
  <c r="H50" i="29"/>
  <c r="G50" i="29" s="1"/>
  <c r="I50" i="29" s="1"/>
  <c r="D13" i="29" s="1"/>
  <c r="H49" i="29"/>
  <c r="G49" i="29" s="1"/>
  <c r="I49" i="29" s="1"/>
  <c r="D12" i="29" s="1"/>
  <c r="H48" i="29"/>
  <c r="G48" i="29" s="1"/>
  <c r="I48" i="29" s="1"/>
  <c r="D11" i="29" s="1"/>
  <c r="H47" i="29"/>
  <c r="G47" i="29" s="1"/>
  <c r="I47" i="29" s="1"/>
  <c r="D10" i="29" s="1"/>
  <c r="H46" i="29"/>
  <c r="G46" i="29" s="1"/>
  <c r="I46" i="29" s="1"/>
  <c r="D9" i="29" s="1"/>
  <c r="H45" i="29"/>
  <c r="G45" i="29" s="1"/>
  <c r="I45" i="29" s="1"/>
  <c r="D8" i="29" s="1"/>
  <c r="H44" i="29"/>
  <c r="G44" i="29" s="1"/>
  <c r="I44" i="29" s="1"/>
  <c r="D7" i="29" s="1"/>
  <c r="H43" i="29"/>
  <c r="G43" i="29" s="1"/>
  <c r="I43" i="29" s="1"/>
  <c r="D6" i="29" s="1"/>
  <c r="H42" i="29"/>
  <c r="G42" i="29" s="1"/>
  <c r="I42" i="29" s="1"/>
  <c r="D5" i="29" s="1"/>
  <c r="H41" i="29"/>
  <c r="G41" i="29" s="1"/>
  <c r="I41" i="29" s="1"/>
  <c r="D4" i="29" s="1"/>
  <c r="D19" i="29" s="1"/>
  <c r="H55" i="30"/>
  <c r="G55" i="30" s="1"/>
  <c r="I55" i="30" s="1"/>
  <c r="D18" i="30" s="1"/>
  <c r="H54" i="30"/>
  <c r="G54" i="30" s="1"/>
  <c r="I54" i="30" s="1"/>
  <c r="D17" i="30" s="1"/>
  <c r="H53" i="30"/>
  <c r="G53" i="30" s="1"/>
  <c r="I53" i="30" s="1"/>
  <c r="D16" i="30" s="1"/>
  <c r="H52" i="30"/>
  <c r="G52" i="30" s="1"/>
  <c r="I52" i="30" s="1"/>
  <c r="D15" i="30" s="1"/>
  <c r="H51" i="30"/>
  <c r="G51" i="30" s="1"/>
  <c r="I51" i="30" s="1"/>
  <c r="D14" i="30" s="1"/>
  <c r="H50" i="30"/>
  <c r="G50" i="30" s="1"/>
  <c r="I50" i="30" s="1"/>
  <c r="D13" i="30" s="1"/>
  <c r="H49" i="30"/>
  <c r="G49" i="30" s="1"/>
  <c r="I49" i="30" s="1"/>
  <c r="D12" i="30" s="1"/>
  <c r="H48" i="30"/>
  <c r="G48" i="30" s="1"/>
  <c r="I48" i="30" s="1"/>
  <c r="D11" i="30" s="1"/>
  <c r="H47" i="30"/>
  <c r="G47" i="30" s="1"/>
  <c r="I47" i="30" s="1"/>
  <c r="D10" i="30" s="1"/>
  <c r="H46" i="30"/>
  <c r="G46" i="30" s="1"/>
  <c r="I46" i="30" s="1"/>
  <c r="D9" i="30" s="1"/>
  <c r="H45" i="30"/>
  <c r="G45" i="30" s="1"/>
  <c r="I45" i="30" s="1"/>
  <c r="D8" i="30" s="1"/>
  <c r="H44" i="30"/>
  <c r="G44" i="30" s="1"/>
  <c r="I44" i="30" s="1"/>
  <c r="D7" i="30" s="1"/>
  <c r="H43" i="30"/>
  <c r="G43" i="30" s="1"/>
  <c r="I43" i="30" s="1"/>
  <c r="D6" i="30" s="1"/>
  <c r="H42" i="30"/>
  <c r="G42" i="30" s="1"/>
  <c r="I42" i="30" s="1"/>
  <c r="D5" i="30" s="1"/>
  <c r="H41" i="30"/>
  <c r="G41" i="30" s="1"/>
  <c r="I41" i="30" s="1"/>
  <c r="D4" i="30" s="1"/>
  <c r="D19" i="30" s="1"/>
  <c r="H55" i="31"/>
  <c r="G55" i="31" s="1"/>
  <c r="I55" i="31" s="1"/>
  <c r="D18" i="31" s="1"/>
  <c r="H54" i="31"/>
  <c r="G54" i="31" s="1"/>
  <c r="I54" i="31" s="1"/>
  <c r="D17" i="31" s="1"/>
  <c r="H53" i="31"/>
  <c r="G53" i="31" s="1"/>
  <c r="I53" i="31" s="1"/>
  <c r="D16" i="31" s="1"/>
  <c r="H52" i="31"/>
  <c r="G52" i="31" s="1"/>
  <c r="I52" i="31" s="1"/>
  <c r="D15" i="31" s="1"/>
  <c r="H51" i="31"/>
  <c r="G51" i="31" s="1"/>
  <c r="I51" i="31" s="1"/>
  <c r="D14" i="31" s="1"/>
  <c r="H50" i="31"/>
  <c r="G50" i="31" s="1"/>
  <c r="I50" i="31" s="1"/>
  <c r="D13" i="31" s="1"/>
  <c r="H49" i="31"/>
  <c r="G49" i="31" s="1"/>
  <c r="I49" i="31" s="1"/>
  <c r="D12" i="31" s="1"/>
  <c r="H48" i="31"/>
  <c r="G48" i="31" s="1"/>
  <c r="I48" i="31" s="1"/>
  <c r="D11" i="31" s="1"/>
  <c r="H47" i="31"/>
  <c r="G47" i="31" s="1"/>
  <c r="I47" i="31" s="1"/>
  <c r="D10" i="31" s="1"/>
  <c r="H46" i="31"/>
  <c r="G46" i="31" s="1"/>
  <c r="I46" i="31" s="1"/>
  <c r="D9" i="31" s="1"/>
  <c r="H45" i="31"/>
  <c r="G45" i="31" s="1"/>
  <c r="I45" i="31" s="1"/>
  <c r="D8" i="31" s="1"/>
  <c r="H44" i="31"/>
  <c r="G44" i="31" s="1"/>
  <c r="I44" i="31" s="1"/>
  <c r="D7" i="31" s="1"/>
  <c r="H43" i="31"/>
  <c r="G43" i="31" s="1"/>
  <c r="I43" i="31" s="1"/>
  <c r="D6" i="31" s="1"/>
  <c r="H42" i="31"/>
  <c r="G42" i="31" s="1"/>
  <c r="I42" i="31" s="1"/>
  <c r="D5" i="31" s="1"/>
  <c r="H41" i="31"/>
  <c r="G41" i="31" s="1"/>
  <c r="I41" i="31" s="1"/>
  <c r="D4" i="31" s="1"/>
  <c r="D19" i="31" s="1"/>
  <c r="H55" i="32"/>
  <c r="G55" i="32" s="1"/>
  <c r="I55" i="32" s="1"/>
  <c r="D18" i="32" s="1"/>
  <c r="H54" i="32"/>
  <c r="G54" i="32" s="1"/>
  <c r="I54" i="32" s="1"/>
  <c r="D17" i="32" s="1"/>
  <c r="H53" i="32"/>
  <c r="G53" i="32" s="1"/>
  <c r="I53" i="32" s="1"/>
  <c r="D16" i="32" s="1"/>
  <c r="H52" i="32"/>
  <c r="G52" i="32" s="1"/>
  <c r="I52" i="32" s="1"/>
  <c r="D15" i="32" s="1"/>
  <c r="H51" i="32"/>
  <c r="G51" i="32" s="1"/>
  <c r="I51" i="32" s="1"/>
  <c r="D14" i="32" s="1"/>
  <c r="H50" i="32"/>
  <c r="G50" i="32" s="1"/>
  <c r="I50" i="32" s="1"/>
  <c r="D13" i="32" s="1"/>
  <c r="H49" i="32"/>
  <c r="G49" i="32" s="1"/>
  <c r="I49" i="32" s="1"/>
  <c r="D12" i="32" s="1"/>
  <c r="H48" i="32"/>
  <c r="G48" i="32" s="1"/>
  <c r="I48" i="32" s="1"/>
  <c r="D11" i="32" s="1"/>
  <c r="H47" i="32"/>
  <c r="G47" i="32" s="1"/>
  <c r="I47" i="32" s="1"/>
  <c r="D10" i="32" s="1"/>
  <c r="H46" i="32"/>
  <c r="G46" i="32" s="1"/>
  <c r="I46" i="32" s="1"/>
  <c r="D9" i="32" s="1"/>
  <c r="H45" i="32"/>
  <c r="G45" i="32" s="1"/>
  <c r="I45" i="32" s="1"/>
  <c r="D8" i="32" s="1"/>
  <c r="H44" i="32"/>
  <c r="G44" i="32" s="1"/>
  <c r="I44" i="32" s="1"/>
  <c r="D7" i="32" s="1"/>
  <c r="H43" i="32"/>
  <c r="G43" i="32" s="1"/>
  <c r="I43" i="32" s="1"/>
  <c r="D6" i="32" s="1"/>
  <c r="H42" i="32"/>
  <c r="G42" i="32" s="1"/>
  <c r="I42" i="32" s="1"/>
  <c r="D5" i="32" s="1"/>
  <c r="H41" i="32"/>
  <c r="G41" i="32" s="1"/>
  <c r="I41" i="32" s="1"/>
  <c r="D4" i="32" s="1"/>
  <c r="D19" i="32" s="1"/>
  <c r="H55" i="33"/>
  <c r="G55" i="33" s="1"/>
  <c r="I55" i="33" s="1"/>
  <c r="D18" i="33" s="1"/>
  <c r="H54" i="33"/>
  <c r="G54" i="33" s="1"/>
  <c r="I54" i="33" s="1"/>
  <c r="D17" i="33" s="1"/>
  <c r="H53" i="33"/>
  <c r="G53" i="33" s="1"/>
  <c r="I53" i="33" s="1"/>
  <c r="D16" i="33" s="1"/>
  <c r="H52" i="33"/>
  <c r="G52" i="33" s="1"/>
  <c r="I52" i="33" s="1"/>
  <c r="D15" i="33" s="1"/>
  <c r="H51" i="33"/>
  <c r="G51" i="33" s="1"/>
  <c r="I51" i="33" s="1"/>
  <c r="D14" i="33" s="1"/>
  <c r="H50" i="33"/>
  <c r="G50" i="33" s="1"/>
  <c r="I50" i="33" s="1"/>
  <c r="D13" i="33" s="1"/>
  <c r="H49" i="33"/>
  <c r="G49" i="33" s="1"/>
  <c r="I49" i="33" s="1"/>
  <c r="D12" i="33" s="1"/>
  <c r="H48" i="33"/>
  <c r="G48" i="33" s="1"/>
  <c r="I48" i="33" s="1"/>
  <c r="D11" i="33" s="1"/>
  <c r="H47" i="33"/>
  <c r="G47" i="33" s="1"/>
  <c r="I47" i="33" s="1"/>
  <c r="D10" i="33" s="1"/>
  <c r="H46" i="33"/>
  <c r="G46" i="33" s="1"/>
  <c r="I46" i="33" s="1"/>
  <c r="D9" i="33" s="1"/>
  <c r="H45" i="33"/>
  <c r="G45" i="33" s="1"/>
  <c r="I45" i="33" s="1"/>
  <c r="D8" i="33" s="1"/>
  <c r="H44" i="33"/>
  <c r="G44" i="33" s="1"/>
  <c r="I44" i="33" s="1"/>
  <c r="D7" i="33" s="1"/>
  <c r="H43" i="33"/>
  <c r="G43" i="33" s="1"/>
  <c r="I43" i="33" s="1"/>
  <c r="D6" i="33" s="1"/>
  <c r="H42" i="33"/>
  <c r="G42" i="33" s="1"/>
  <c r="I42" i="33" s="1"/>
  <c r="D5" i="33" s="1"/>
  <c r="H41" i="33"/>
  <c r="G41" i="33" s="1"/>
  <c r="I41" i="33" s="1"/>
  <c r="D4" i="33" s="1"/>
  <c r="D19" i="33" s="1"/>
  <c r="H55" i="34"/>
  <c r="G55" i="34" s="1"/>
  <c r="I55" i="34" s="1"/>
  <c r="D18" i="34" s="1"/>
  <c r="H54" i="34"/>
  <c r="G54" i="34" s="1"/>
  <c r="I54" i="34" s="1"/>
  <c r="D17" i="34" s="1"/>
  <c r="H53" i="34"/>
  <c r="G53" i="34" s="1"/>
  <c r="I53" i="34" s="1"/>
  <c r="D16" i="34" s="1"/>
  <c r="H52" i="34"/>
  <c r="G52" i="34" s="1"/>
  <c r="I52" i="34" s="1"/>
  <c r="D15" i="34" s="1"/>
  <c r="H51" i="34"/>
  <c r="G51" i="34" s="1"/>
  <c r="I51" i="34" s="1"/>
  <c r="D14" i="34" s="1"/>
  <c r="H50" i="34"/>
  <c r="G50" i="34" s="1"/>
  <c r="I50" i="34" s="1"/>
  <c r="D13" i="34" s="1"/>
  <c r="H49" i="34"/>
  <c r="G49" i="34" s="1"/>
  <c r="I49" i="34" s="1"/>
  <c r="D12" i="34" s="1"/>
  <c r="H48" i="34"/>
  <c r="G48" i="34" s="1"/>
  <c r="I48" i="34" s="1"/>
  <c r="D11" i="34" s="1"/>
  <c r="H47" i="34"/>
  <c r="G47" i="34" s="1"/>
  <c r="I47" i="34" s="1"/>
  <c r="D10" i="34" s="1"/>
  <c r="H46" i="34"/>
  <c r="G46" i="34" s="1"/>
  <c r="I46" i="34" s="1"/>
  <c r="D9" i="34" s="1"/>
  <c r="H45" i="34"/>
  <c r="G45" i="34" s="1"/>
  <c r="I45" i="34" s="1"/>
  <c r="D8" i="34" s="1"/>
  <c r="H44" i="34"/>
  <c r="G44" i="34" s="1"/>
  <c r="I44" i="34" s="1"/>
  <c r="D7" i="34" s="1"/>
  <c r="H43" i="34"/>
  <c r="G43" i="34" s="1"/>
  <c r="I43" i="34" s="1"/>
  <c r="D6" i="34" s="1"/>
  <c r="H42" i="34"/>
  <c r="G42" i="34" s="1"/>
  <c r="I42" i="34" s="1"/>
  <c r="D5" i="34" s="1"/>
  <c r="H41" i="34"/>
  <c r="G41" i="34" s="1"/>
  <c r="I41" i="34" s="1"/>
  <c r="D4" i="34" s="1"/>
  <c r="D19" i="34" s="1"/>
  <c r="H55" i="35"/>
  <c r="G55" i="35" s="1"/>
  <c r="I55" i="35" s="1"/>
  <c r="D18" i="35" s="1"/>
  <c r="H54" i="35"/>
  <c r="G54" i="35" s="1"/>
  <c r="I54" i="35" s="1"/>
  <c r="D17" i="35" s="1"/>
  <c r="H53" i="35"/>
  <c r="G53" i="35" s="1"/>
  <c r="I53" i="35" s="1"/>
  <c r="D16" i="35" s="1"/>
  <c r="H52" i="35"/>
  <c r="G52" i="35" s="1"/>
  <c r="I52" i="35" s="1"/>
  <c r="D15" i="35" s="1"/>
  <c r="H51" i="35"/>
  <c r="G51" i="35" s="1"/>
  <c r="I51" i="35" s="1"/>
  <c r="D14" i="35" s="1"/>
  <c r="H50" i="35"/>
  <c r="G50" i="35" s="1"/>
  <c r="I50" i="35" s="1"/>
  <c r="D13" i="35" s="1"/>
  <c r="H49" i="35"/>
  <c r="G49" i="35" s="1"/>
  <c r="I49" i="35" s="1"/>
  <c r="D12" i="35" s="1"/>
  <c r="H48" i="35"/>
  <c r="G48" i="35" s="1"/>
  <c r="I48" i="35" s="1"/>
  <c r="D11" i="35" s="1"/>
  <c r="H47" i="35"/>
  <c r="G47" i="35" s="1"/>
  <c r="I47" i="35" s="1"/>
  <c r="D10" i="35" s="1"/>
  <c r="H46" i="35"/>
  <c r="G46" i="35" s="1"/>
  <c r="I46" i="35" s="1"/>
  <c r="D9" i="35" s="1"/>
  <c r="H45" i="35"/>
  <c r="G45" i="35" s="1"/>
  <c r="I45" i="35" s="1"/>
  <c r="D8" i="35" s="1"/>
  <c r="H44" i="35"/>
  <c r="G44" i="35" s="1"/>
  <c r="I44" i="35" s="1"/>
  <c r="D7" i="35" s="1"/>
  <c r="H43" i="35"/>
  <c r="G43" i="35" s="1"/>
  <c r="I43" i="35" s="1"/>
  <c r="D6" i="35" s="1"/>
  <c r="H42" i="35"/>
  <c r="G42" i="35" s="1"/>
  <c r="I42" i="35" s="1"/>
  <c r="D5" i="35" s="1"/>
  <c r="H41" i="35"/>
  <c r="G41" i="35" s="1"/>
  <c r="I41" i="35" s="1"/>
  <c r="D4" i="35" s="1"/>
  <c r="D19" i="35" s="1"/>
  <c r="H55" i="36"/>
  <c r="G55" i="36" s="1"/>
  <c r="I55" i="36" s="1"/>
  <c r="D18" i="36" s="1"/>
  <c r="H54" i="36"/>
  <c r="G54" i="36" s="1"/>
  <c r="I54" i="36" s="1"/>
  <c r="D17" i="36" s="1"/>
  <c r="H53" i="36"/>
  <c r="G53" i="36" s="1"/>
  <c r="I53" i="36" s="1"/>
  <c r="D16" i="36" s="1"/>
  <c r="H52" i="36"/>
  <c r="G52" i="36" s="1"/>
  <c r="I52" i="36" s="1"/>
  <c r="D15" i="36" s="1"/>
  <c r="H51" i="36"/>
  <c r="G51" i="36" s="1"/>
  <c r="I51" i="36" s="1"/>
  <c r="D14" i="36" s="1"/>
  <c r="H50" i="36"/>
  <c r="G50" i="36" s="1"/>
  <c r="I50" i="36" s="1"/>
  <c r="D13" i="36" s="1"/>
  <c r="H49" i="36"/>
  <c r="G49" i="36" s="1"/>
  <c r="I49" i="36" s="1"/>
  <c r="D12" i="36" s="1"/>
  <c r="H48" i="36"/>
  <c r="G48" i="36" s="1"/>
  <c r="I48" i="36" s="1"/>
  <c r="D11" i="36" s="1"/>
  <c r="H47" i="36"/>
  <c r="G47" i="36" s="1"/>
  <c r="I47" i="36" s="1"/>
  <c r="D10" i="36" s="1"/>
  <c r="H46" i="36"/>
  <c r="G46" i="36" s="1"/>
  <c r="I46" i="36" s="1"/>
  <c r="D9" i="36" s="1"/>
  <c r="H45" i="36"/>
  <c r="G45" i="36" s="1"/>
  <c r="I45" i="36" s="1"/>
  <c r="D8" i="36" s="1"/>
  <c r="H44" i="36"/>
  <c r="G44" i="36" s="1"/>
  <c r="I44" i="36" s="1"/>
  <c r="D7" i="36" s="1"/>
  <c r="H43" i="36"/>
  <c r="G43" i="36" s="1"/>
  <c r="I43" i="36" s="1"/>
  <c r="D6" i="36" s="1"/>
  <c r="H42" i="36"/>
  <c r="G42" i="36" s="1"/>
  <c r="I42" i="36" s="1"/>
  <c r="D5" i="36" s="1"/>
  <c r="H41" i="36"/>
  <c r="G41" i="36" s="1"/>
  <c r="I41" i="36" s="1"/>
  <c r="D4" i="36" s="1"/>
  <c r="D19" i="36" s="1"/>
  <c r="H55" i="37"/>
  <c r="G55" i="37" s="1"/>
  <c r="I55" i="37" s="1"/>
  <c r="D18" i="37" s="1"/>
  <c r="H54" i="37"/>
  <c r="G54" i="37" s="1"/>
  <c r="I54" i="37" s="1"/>
  <c r="D17" i="37" s="1"/>
  <c r="H53" i="37"/>
  <c r="G53" i="37" s="1"/>
  <c r="I53" i="37" s="1"/>
  <c r="D16" i="37" s="1"/>
  <c r="H52" i="37"/>
  <c r="G52" i="37" s="1"/>
  <c r="I52" i="37" s="1"/>
  <c r="D15" i="37" s="1"/>
  <c r="H51" i="37"/>
  <c r="G51" i="37" s="1"/>
  <c r="I51" i="37" s="1"/>
  <c r="D14" i="37" s="1"/>
  <c r="H50" i="37"/>
  <c r="G50" i="37" s="1"/>
  <c r="I50" i="37" s="1"/>
  <c r="D13" i="37" s="1"/>
  <c r="H49" i="37"/>
  <c r="G49" i="37" s="1"/>
  <c r="I49" i="37" s="1"/>
  <c r="D12" i="37" s="1"/>
  <c r="H48" i="37"/>
  <c r="G48" i="37" s="1"/>
  <c r="I48" i="37" s="1"/>
  <c r="D11" i="37" s="1"/>
  <c r="H47" i="37"/>
  <c r="G47" i="37" s="1"/>
  <c r="I47" i="37" s="1"/>
  <c r="D10" i="37" s="1"/>
  <c r="H46" i="37"/>
  <c r="G46" i="37" s="1"/>
  <c r="I46" i="37" s="1"/>
  <c r="D9" i="37" s="1"/>
  <c r="H45" i="37"/>
  <c r="G45" i="37" s="1"/>
  <c r="I45" i="37" s="1"/>
  <c r="D8" i="37" s="1"/>
  <c r="H44" i="37"/>
  <c r="G44" i="37" s="1"/>
  <c r="I44" i="37" s="1"/>
  <c r="D7" i="37" s="1"/>
  <c r="H43" i="37"/>
  <c r="G43" i="37" s="1"/>
  <c r="I43" i="37" s="1"/>
  <c r="D6" i="37" s="1"/>
  <c r="H42" i="37"/>
  <c r="G42" i="37" s="1"/>
  <c r="I42" i="37" s="1"/>
  <c r="D5" i="37" s="1"/>
  <c r="H41" i="37"/>
  <c r="G41" i="37" s="1"/>
  <c r="I41" i="37" s="1"/>
  <c r="D4" i="37" s="1"/>
  <c r="D19" i="37" s="1"/>
  <c r="H55" i="38"/>
  <c r="G55" i="38" s="1"/>
  <c r="I55" i="38" s="1"/>
  <c r="D18" i="38" s="1"/>
  <c r="H54" i="38"/>
  <c r="G54" i="38" s="1"/>
  <c r="I54" i="38" s="1"/>
  <c r="D17" i="38" s="1"/>
  <c r="H53" i="38"/>
  <c r="G53" i="38" s="1"/>
  <c r="I53" i="38" s="1"/>
  <c r="D16" i="38" s="1"/>
  <c r="H52" i="38"/>
  <c r="G52" i="38" s="1"/>
  <c r="I52" i="38" s="1"/>
  <c r="D15" i="38" s="1"/>
  <c r="H51" i="38"/>
  <c r="G51" i="38" s="1"/>
  <c r="I51" i="38" s="1"/>
  <c r="D14" i="38" s="1"/>
  <c r="H50" i="38"/>
  <c r="G50" i="38" s="1"/>
  <c r="I50" i="38" s="1"/>
  <c r="D13" i="38" s="1"/>
  <c r="H49" i="38"/>
  <c r="G49" i="38" s="1"/>
  <c r="I49" i="38" s="1"/>
  <c r="D12" i="38" s="1"/>
  <c r="H48" i="38"/>
  <c r="G48" i="38" s="1"/>
  <c r="I48" i="38" s="1"/>
  <c r="D11" i="38" s="1"/>
  <c r="H47" i="38"/>
  <c r="G47" i="38" s="1"/>
  <c r="I47" i="38" s="1"/>
  <c r="D10" i="38" s="1"/>
  <c r="H46" i="38"/>
  <c r="G46" i="38" s="1"/>
  <c r="I46" i="38" s="1"/>
  <c r="D9" i="38" s="1"/>
  <c r="H45" i="38"/>
  <c r="G45" i="38" s="1"/>
  <c r="I45" i="38" s="1"/>
  <c r="D8" i="38" s="1"/>
  <c r="H44" i="38"/>
  <c r="G44" i="38" s="1"/>
  <c r="I44" i="38" s="1"/>
  <c r="D7" i="38" s="1"/>
  <c r="H43" i="38"/>
  <c r="G43" i="38" s="1"/>
  <c r="I43" i="38" s="1"/>
  <c r="D6" i="38" s="1"/>
  <c r="H42" i="38"/>
  <c r="G42" i="38" s="1"/>
  <c r="I42" i="38" s="1"/>
  <c r="D5" i="38" s="1"/>
  <c r="H41" i="38"/>
  <c r="G41" i="38" s="1"/>
  <c r="I41" i="38" s="1"/>
  <c r="D4" i="38" s="1"/>
  <c r="D19" i="38" s="1"/>
  <c r="H55" i="39"/>
  <c r="G55" i="39" s="1"/>
  <c r="I55" i="39" s="1"/>
  <c r="D18" i="39" s="1"/>
  <c r="H54" i="39"/>
  <c r="G54" i="39" s="1"/>
  <c r="I54" i="39" s="1"/>
  <c r="D17" i="39" s="1"/>
  <c r="H53" i="39"/>
  <c r="G53" i="39" s="1"/>
  <c r="I53" i="39" s="1"/>
  <c r="D16" i="39" s="1"/>
  <c r="H52" i="39"/>
  <c r="G52" i="39" s="1"/>
  <c r="I52" i="39" s="1"/>
  <c r="D15" i="39" s="1"/>
  <c r="H51" i="39"/>
  <c r="G51" i="39" s="1"/>
  <c r="I51" i="39" s="1"/>
  <c r="D14" i="39" s="1"/>
  <c r="H50" i="39"/>
  <c r="G50" i="39" s="1"/>
  <c r="I50" i="39" s="1"/>
  <c r="D13" i="39" s="1"/>
  <c r="H49" i="39"/>
  <c r="G49" i="39" s="1"/>
  <c r="I49" i="39" s="1"/>
  <c r="D12" i="39" s="1"/>
  <c r="H48" i="39"/>
  <c r="G48" i="39" s="1"/>
  <c r="I48" i="39" s="1"/>
  <c r="D11" i="39" s="1"/>
  <c r="H47" i="39"/>
  <c r="G47" i="39" s="1"/>
  <c r="I47" i="39" s="1"/>
  <c r="D10" i="39" s="1"/>
  <c r="H46" i="39"/>
  <c r="G46" i="39" s="1"/>
  <c r="I46" i="39" s="1"/>
  <c r="D9" i="39" s="1"/>
  <c r="H45" i="39"/>
  <c r="G45" i="39" s="1"/>
  <c r="I45" i="39" s="1"/>
  <c r="D8" i="39" s="1"/>
  <c r="H44" i="39"/>
  <c r="G44" i="39" s="1"/>
  <c r="I44" i="39" s="1"/>
  <c r="D7" i="39" s="1"/>
  <c r="H43" i="39"/>
  <c r="G43" i="39" s="1"/>
  <c r="I43" i="39" s="1"/>
  <c r="D6" i="39" s="1"/>
  <c r="H42" i="39"/>
  <c r="G42" i="39" s="1"/>
  <c r="I42" i="39" s="1"/>
  <c r="D5" i="39" s="1"/>
  <c r="H41" i="39"/>
  <c r="G41" i="39" s="1"/>
  <c r="I41" i="39" s="1"/>
  <c r="D4" i="39" s="1"/>
  <c r="D19" i="39" s="1"/>
  <c r="H55" i="40"/>
  <c r="G55" i="40" s="1"/>
  <c r="I55" i="40" s="1"/>
  <c r="D18" i="40" s="1"/>
  <c r="H54" i="40"/>
  <c r="G54" i="40" s="1"/>
  <c r="I54" i="40" s="1"/>
  <c r="D17" i="40" s="1"/>
  <c r="H53" i="40"/>
  <c r="G53" i="40" s="1"/>
  <c r="I53" i="40" s="1"/>
  <c r="D16" i="40" s="1"/>
  <c r="H52" i="40"/>
  <c r="G52" i="40" s="1"/>
  <c r="I52" i="40" s="1"/>
  <c r="D15" i="40" s="1"/>
  <c r="H51" i="40"/>
  <c r="G51" i="40" s="1"/>
  <c r="I51" i="40" s="1"/>
  <c r="D14" i="40" s="1"/>
  <c r="H50" i="40"/>
  <c r="G50" i="40" s="1"/>
  <c r="I50" i="40" s="1"/>
  <c r="D13" i="40" s="1"/>
  <c r="H49" i="40"/>
  <c r="G49" i="40" s="1"/>
  <c r="I49" i="40" s="1"/>
  <c r="D12" i="40" s="1"/>
  <c r="H48" i="40"/>
  <c r="G48" i="40" s="1"/>
  <c r="I48" i="40" s="1"/>
  <c r="D11" i="40" s="1"/>
  <c r="H47" i="40"/>
  <c r="G47" i="40" s="1"/>
  <c r="I47" i="40" s="1"/>
  <c r="D10" i="40" s="1"/>
  <c r="H46" i="40"/>
  <c r="G46" i="40" s="1"/>
  <c r="I46" i="40" s="1"/>
  <c r="D9" i="40" s="1"/>
  <c r="H45" i="40"/>
  <c r="G45" i="40" s="1"/>
  <c r="I45" i="40" s="1"/>
  <c r="D8" i="40" s="1"/>
  <c r="H44" i="40"/>
  <c r="G44" i="40" s="1"/>
  <c r="I44" i="40" s="1"/>
  <c r="D7" i="40" s="1"/>
  <c r="H43" i="40"/>
  <c r="G43" i="40" s="1"/>
  <c r="I43" i="40" s="1"/>
  <c r="D6" i="40" s="1"/>
  <c r="H42" i="40"/>
  <c r="G42" i="40" s="1"/>
  <c r="I42" i="40" s="1"/>
  <c r="D5" i="40" s="1"/>
  <c r="H41" i="40"/>
  <c r="G41" i="40" s="1"/>
  <c r="I41" i="40" s="1"/>
  <c r="D4" i="40" s="1"/>
  <c r="D19" i="40" s="1"/>
  <c r="H55" i="41"/>
  <c r="G55" i="41" s="1"/>
  <c r="I55" i="41" s="1"/>
  <c r="D18" i="41" s="1"/>
  <c r="H54" i="41"/>
  <c r="G54" i="41" s="1"/>
  <c r="I54" i="41" s="1"/>
  <c r="D17" i="41" s="1"/>
  <c r="H53" i="41"/>
  <c r="G53" i="41" s="1"/>
  <c r="I53" i="41" s="1"/>
  <c r="D16" i="41" s="1"/>
  <c r="H52" i="41"/>
  <c r="G52" i="41" s="1"/>
  <c r="I52" i="41" s="1"/>
  <c r="D15" i="41" s="1"/>
  <c r="H51" i="41"/>
  <c r="G51" i="41" s="1"/>
  <c r="I51" i="41" s="1"/>
  <c r="D14" i="41" s="1"/>
  <c r="H50" i="41"/>
  <c r="G50" i="41" s="1"/>
  <c r="I50" i="41" s="1"/>
  <c r="D13" i="41" s="1"/>
  <c r="H49" i="41"/>
  <c r="G49" i="41" s="1"/>
  <c r="I49" i="41" s="1"/>
  <c r="D12" i="41" s="1"/>
  <c r="H48" i="41"/>
  <c r="G48" i="41" s="1"/>
  <c r="I48" i="41" s="1"/>
  <c r="D11" i="41" s="1"/>
  <c r="H47" i="41"/>
  <c r="G47" i="41" s="1"/>
  <c r="I47" i="41" s="1"/>
  <c r="D10" i="41" s="1"/>
  <c r="H46" i="41"/>
  <c r="G46" i="41" s="1"/>
  <c r="I46" i="41" s="1"/>
  <c r="D9" i="41" s="1"/>
  <c r="H45" i="41"/>
  <c r="G45" i="41" s="1"/>
  <c r="I45" i="41" s="1"/>
  <c r="D8" i="41" s="1"/>
  <c r="H44" i="41"/>
  <c r="G44" i="41" s="1"/>
  <c r="I44" i="41" s="1"/>
  <c r="D7" i="41" s="1"/>
  <c r="H43" i="41"/>
  <c r="G43" i="41" s="1"/>
  <c r="I43" i="41" s="1"/>
  <c r="D6" i="41" s="1"/>
  <c r="H42" i="41"/>
  <c r="G42" i="41" s="1"/>
  <c r="I42" i="41" s="1"/>
  <c r="D5" i="41" s="1"/>
  <c r="H41" i="41"/>
  <c r="G41" i="41" s="1"/>
  <c r="I41" i="41" s="1"/>
  <c r="D4" i="41" s="1"/>
  <c r="D19" i="41" s="1"/>
  <c r="H55" i="42"/>
  <c r="G55" i="42" s="1"/>
  <c r="I55" i="42" s="1"/>
  <c r="D18" i="42" s="1"/>
  <c r="H54" i="42"/>
  <c r="G54" i="42" s="1"/>
  <c r="I54" i="42" s="1"/>
  <c r="D17" i="42" s="1"/>
  <c r="H53" i="42"/>
  <c r="G53" i="42" s="1"/>
  <c r="I53" i="42" s="1"/>
  <c r="D16" i="42" s="1"/>
  <c r="H52" i="42"/>
  <c r="G52" i="42" s="1"/>
  <c r="I52" i="42" s="1"/>
  <c r="D15" i="42" s="1"/>
  <c r="H51" i="42"/>
  <c r="G51" i="42" s="1"/>
  <c r="I51" i="42" s="1"/>
  <c r="D14" i="42" s="1"/>
  <c r="H50" i="42"/>
  <c r="G50" i="42" s="1"/>
  <c r="I50" i="42" s="1"/>
  <c r="D13" i="42" s="1"/>
  <c r="H49" i="42"/>
  <c r="G49" i="42" s="1"/>
  <c r="I49" i="42" s="1"/>
  <c r="D12" i="42" s="1"/>
  <c r="H48" i="42"/>
  <c r="G48" i="42" s="1"/>
  <c r="I48" i="42" s="1"/>
  <c r="D11" i="42" s="1"/>
  <c r="H47" i="42"/>
  <c r="G47" i="42" s="1"/>
  <c r="I47" i="42" s="1"/>
  <c r="D10" i="42" s="1"/>
  <c r="H46" i="42"/>
  <c r="G46" i="42" s="1"/>
  <c r="I46" i="42" s="1"/>
  <c r="D9" i="42" s="1"/>
  <c r="H45" i="42"/>
  <c r="G45" i="42" s="1"/>
  <c r="I45" i="42" s="1"/>
  <c r="D8" i="42" s="1"/>
  <c r="H44" i="42"/>
  <c r="G44" i="42" s="1"/>
  <c r="I44" i="42" s="1"/>
  <c r="D7" i="42" s="1"/>
  <c r="H43" i="42"/>
  <c r="G43" i="42" s="1"/>
  <c r="I43" i="42" s="1"/>
  <c r="D6" i="42" s="1"/>
  <c r="H42" i="42"/>
  <c r="G42" i="42" s="1"/>
  <c r="I42" i="42" s="1"/>
  <c r="D5" i="42" s="1"/>
  <c r="H41" i="42"/>
  <c r="G41" i="42" s="1"/>
  <c r="I41" i="42" s="1"/>
  <c r="D4" i="42" s="1"/>
  <c r="D19" i="42" s="1"/>
  <c r="H55" i="43"/>
  <c r="G55" i="43" s="1"/>
  <c r="I55" i="43" s="1"/>
  <c r="D18" i="43" s="1"/>
  <c r="H54" i="43"/>
  <c r="G54" i="43" s="1"/>
  <c r="I54" i="43" s="1"/>
  <c r="D17" i="43" s="1"/>
  <c r="H53" i="43"/>
  <c r="G53" i="43" s="1"/>
  <c r="I53" i="43" s="1"/>
  <c r="D16" i="43" s="1"/>
  <c r="H52" i="43"/>
  <c r="G52" i="43" s="1"/>
  <c r="I52" i="43" s="1"/>
  <c r="D15" i="43" s="1"/>
  <c r="H51" i="43"/>
  <c r="G51" i="43" s="1"/>
  <c r="I51" i="43" s="1"/>
  <c r="D14" i="43" s="1"/>
  <c r="H50" i="43"/>
  <c r="G50" i="43" s="1"/>
  <c r="I50" i="43" s="1"/>
  <c r="D13" i="43" s="1"/>
  <c r="H49" i="43"/>
  <c r="G49" i="43" s="1"/>
  <c r="I49" i="43" s="1"/>
  <c r="D12" i="43" s="1"/>
  <c r="H48" i="43"/>
  <c r="G48" i="43" s="1"/>
  <c r="I48" i="43" s="1"/>
  <c r="D11" i="43" s="1"/>
  <c r="H47" i="43"/>
  <c r="G47" i="43" s="1"/>
  <c r="I47" i="43" s="1"/>
  <c r="D10" i="43" s="1"/>
  <c r="H46" i="43"/>
  <c r="G46" i="43" s="1"/>
  <c r="I46" i="43" s="1"/>
  <c r="D9" i="43" s="1"/>
  <c r="H45" i="43"/>
  <c r="G45" i="43" s="1"/>
  <c r="I45" i="43" s="1"/>
  <c r="D8" i="43" s="1"/>
  <c r="H44" i="43"/>
  <c r="G44" i="43" s="1"/>
  <c r="I44" i="43" s="1"/>
  <c r="D7" i="43" s="1"/>
  <c r="H43" i="43"/>
  <c r="G43" i="43" s="1"/>
  <c r="I43" i="43" s="1"/>
  <c r="D6" i="43" s="1"/>
  <c r="H42" i="43"/>
  <c r="G42" i="43" s="1"/>
  <c r="I42" i="43" s="1"/>
  <c r="D5" i="43" s="1"/>
  <c r="H41" i="43"/>
  <c r="G41" i="43" s="1"/>
  <c r="I41" i="43" s="1"/>
  <c r="D4" i="43" s="1"/>
  <c r="D19" i="43" s="1"/>
  <c r="H55" i="44"/>
  <c r="G55" i="44" s="1"/>
  <c r="I55" i="44" s="1"/>
  <c r="D18" i="44" s="1"/>
  <c r="H54" i="44"/>
  <c r="G54" i="44" s="1"/>
  <c r="I54" i="44" s="1"/>
  <c r="D17" i="44" s="1"/>
  <c r="H53" i="44"/>
  <c r="G53" i="44" s="1"/>
  <c r="I53" i="44" s="1"/>
  <c r="D16" i="44" s="1"/>
  <c r="H52" i="44"/>
  <c r="G52" i="44" s="1"/>
  <c r="I52" i="44" s="1"/>
  <c r="D15" i="44" s="1"/>
  <c r="H51" i="44"/>
  <c r="G51" i="44" s="1"/>
  <c r="I51" i="44" s="1"/>
  <c r="D14" i="44" s="1"/>
  <c r="H50" i="44"/>
  <c r="G50" i="44" s="1"/>
  <c r="I50" i="44" s="1"/>
  <c r="D13" i="44" s="1"/>
  <c r="H49" i="44"/>
  <c r="G49" i="44" s="1"/>
  <c r="I49" i="44" s="1"/>
  <c r="D12" i="44" s="1"/>
  <c r="H48" i="44"/>
  <c r="G48" i="44" s="1"/>
  <c r="I48" i="44" s="1"/>
  <c r="D11" i="44" s="1"/>
  <c r="H47" i="44"/>
  <c r="G47" i="44" s="1"/>
  <c r="I47" i="44" s="1"/>
  <c r="D10" i="44" s="1"/>
  <c r="H46" i="44"/>
  <c r="G46" i="44" s="1"/>
  <c r="I46" i="44" s="1"/>
  <c r="D9" i="44" s="1"/>
  <c r="H45" i="44"/>
  <c r="G45" i="44" s="1"/>
  <c r="I45" i="44" s="1"/>
  <c r="D8" i="44" s="1"/>
  <c r="H44" i="44"/>
  <c r="G44" i="44" s="1"/>
  <c r="I44" i="44" s="1"/>
  <c r="D7" i="44" s="1"/>
  <c r="H43" i="44"/>
  <c r="G43" i="44" s="1"/>
  <c r="I43" i="44" s="1"/>
  <c r="D6" i="44" s="1"/>
  <c r="H42" i="44"/>
  <c r="G42" i="44" s="1"/>
  <c r="I42" i="44" s="1"/>
  <c r="D5" i="44" s="1"/>
  <c r="H41" i="44"/>
  <c r="G41" i="44" s="1"/>
  <c r="I41" i="44" s="1"/>
  <c r="D4" i="44" s="1"/>
  <c r="D19" i="44" s="1"/>
  <c r="H55" i="45"/>
  <c r="G55" i="45" s="1"/>
  <c r="I55" i="45" s="1"/>
  <c r="D18" i="45" s="1"/>
  <c r="H54" i="45"/>
  <c r="G54" i="45" s="1"/>
  <c r="I54" i="45" s="1"/>
  <c r="D17" i="45" s="1"/>
  <c r="H53" i="45"/>
  <c r="G53" i="45" s="1"/>
  <c r="I53" i="45" s="1"/>
  <c r="D16" i="45" s="1"/>
  <c r="H52" i="45"/>
  <c r="G52" i="45" s="1"/>
  <c r="I52" i="45" s="1"/>
  <c r="D15" i="45" s="1"/>
  <c r="H51" i="45"/>
  <c r="G51" i="45" s="1"/>
  <c r="I51" i="45" s="1"/>
  <c r="D14" i="45" s="1"/>
  <c r="H50" i="45"/>
  <c r="G50" i="45" s="1"/>
  <c r="I50" i="45" s="1"/>
  <c r="D13" i="45" s="1"/>
  <c r="H49" i="45"/>
  <c r="G49" i="45" s="1"/>
  <c r="I49" i="45" s="1"/>
  <c r="D12" i="45" s="1"/>
  <c r="H48" i="45"/>
  <c r="G48" i="45" s="1"/>
  <c r="I48" i="45" s="1"/>
  <c r="D11" i="45" s="1"/>
  <c r="H47" i="45"/>
  <c r="G47" i="45" s="1"/>
  <c r="I47" i="45" s="1"/>
  <c r="D10" i="45" s="1"/>
  <c r="H46" i="45"/>
  <c r="G46" i="45" s="1"/>
  <c r="I46" i="45" s="1"/>
  <c r="D9" i="45" s="1"/>
  <c r="H45" i="45"/>
  <c r="G45" i="45" s="1"/>
  <c r="I45" i="45" s="1"/>
  <c r="D8" i="45" s="1"/>
  <c r="H44" i="45"/>
  <c r="G44" i="45" s="1"/>
  <c r="I44" i="45" s="1"/>
  <c r="D7" i="45" s="1"/>
  <c r="H43" i="45"/>
  <c r="G43" i="45" s="1"/>
  <c r="I43" i="45" s="1"/>
  <c r="D6" i="45" s="1"/>
  <c r="H42" i="45"/>
  <c r="G42" i="45" s="1"/>
  <c r="I42" i="45" s="1"/>
  <c r="D5" i="45" s="1"/>
  <c r="H41" i="45"/>
  <c r="G41" i="45" s="1"/>
  <c r="I41" i="45" s="1"/>
  <c r="D4" i="45" s="1"/>
  <c r="D19" i="45" s="1"/>
  <c r="H55" i="46"/>
  <c r="G55" i="46" s="1"/>
  <c r="I55" i="46" s="1"/>
  <c r="D18" i="46" s="1"/>
  <c r="H54" i="46"/>
  <c r="G54" i="46" s="1"/>
  <c r="I54" i="46" s="1"/>
  <c r="D17" i="46" s="1"/>
  <c r="H53" i="46"/>
  <c r="G53" i="46" s="1"/>
  <c r="I53" i="46" s="1"/>
  <c r="D16" i="46" s="1"/>
  <c r="H52" i="46"/>
  <c r="G52" i="46" s="1"/>
  <c r="I52" i="46" s="1"/>
  <c r="D15" i="46" s="1"/>
  <c r="H51" i="46"/>
  <c r="G51" i="46" s="1"/>
  <c r="I51" i="46" s="1"/>
  <c r="D14" i="46" s="1"/>
  <c r="H50" i="46"/>
  <c r="G50" i="46" s="1"/>
  <c r="I50" i="46" s="1"/>
  <c r="D13" i="46" s="1"/>
  <c r="H49" i="46"/>
  <c r="G49" i="46" s="1"/>
  <c r="I49" i="46" s="1"/>
  <c r="D12" i="46" s="1"/>
  <c r="H48" i="46"/>
  <c r="G48" i="46" s="1"/>
  <c r="I48" i="46" s="1"/>
  <c r="D11" i="46" s="1"/>
  <c r="H47" i="46"/>
  <c r="G47" i="46" s="1"/>
  <c r="I47" i="46" s="1"/>
  <c r="D10" i="46" s="1"/>
  <c r="H46" i="46"/>
  <c r="G46" i="46" s="1"/>
  <c r="I46" i="46" s="1"/>
  <c r="D9" i="46" s="1"/>
  <c r="H45" i="46"/>
  <c r="G45" i="46" s="1"/>
  <c r="I45" i="46" s="1"/>
  <c r="D8" i="46" s="1"/>
  <c r="H44" i="46"/>
  <c r="G44" i="46" s="1"/>
  <c r="I44" i="46" s="1"/>
  <c r="D7" i="46" s="1"/>
  <c r="H43" i="46"/>
  <c r="G43" i="46" s="1"/>
  <c r="I43" i="46" s="1"/>
  <c r="D6" i="46" s="1"/>
  <c r="H42" i="46"/>
  <c r="G42" i="46" s="1"/>
  <c r="I42" i="46" s="1"/>
  <c r="D5" i="46" s="1"/>
  <c r="H41" i="46"/>
  <c r="G41" i="46" s="1"/>
  <c r="I41" i="46" s="1"/>
  <c r="D4" i="46" s="1"/>
  <c r="D19" i="46" s="1"/>
  <c r="H55" i="47"/>
  <c r="G55" i="47" s="1"/>
  <c r="I55" i="47" s="1"/>
  <c r="D18" i="47" s="1"/>
  <c r="H54" i="47"/>
  <c r="G54" i="47" s="1"/>
  <c r="I54" i="47" s="1"/>
  <c r="D17" i="47" s="1"/>
  <c r="H53" i="47"/>
  <c r="G53" i="47" s="1"/>
  <c r="I53" i="47" s="1"/>
  <c r="D16" i="47" s="1"/>
  <c r="H52" i="47"/>
  <c r="G52" i="47" s="1"/>
  <c r="I52" i="47" s="1"/>
  <c r="D15" i="47" s="1"/>
  <c r="H51" i="47"/>
  <c r="G51" i="47" s="1"/>
  <c r="I51" i="47" s="1"/>
  <c r="D14" i="47" s="1"/>
  <c r="H50" i="47"/>
  <c r="G50" i="47" s="1"/>
  <c r="I50" i="47" s="1"/>
  <c r="D13" i="47" s="1"/>
  <c r="H49" i="47"/>
  <c r="G49" i="47" s="1"/>
  <c r="I49" i="47" s="1"/>
  <c r="D12" i="47" s="1"/>
  <c r="H48" i="47"/>
  <c r="G48" i="47" s="1"/>
  <c r="I48" i="47" s="1"/>
  <c r="D11" i="47" s="1"/>
  <c r="H47" i="47"/>
  <c r="G47" i="47" s="1"/>
  <c r="I47" i="47" s="1"/>
  <c r="D10" i="47" s="1"/>
  <c r="H46" i="47"/>
  <c r="G46" i="47" s="1"/>
  <c r="I46" i="47" s="1"/>
  <c r="D9" i="47" s="1"/>
  <c r="H45" i="47"/>
  <c r="G45" i="47" s="1"/>
  <c r="I45" i="47" s="1"/>
  <c r="D8" i="47" s="1"/>
  <c r="H44" i="47"/>
  <c r="G44" i="47" s="1"/>
  <c r="I44" i="47" s="1"/>
  <c r="D7" i="47" s="1"/>
  <c r="H43" i="47"/>
  <c r="G43" i="47" s="1"/>
  <c r="I43" i="47" s="1"/>
  <c r="D6" i="47" s="1"/>
  <c r="H42" i="47"/>
  <c r="G42" i="47" s="1"/>
  <c r="I42" i="47" s="1"/>
  <c r="D5" i="47" s="1"/>
  <c r="H41" i="47"/>
  <c r="G41" i="47" s="1"/>
  <c r="I41" i="47" s="1"/>
  <c r="D4" i="47" s="1"/>
  <c r="D19" i="47" s="1"/>
  <c r="H55" i="48"/>
  <c r="G55" i="48" s="1"/>
  <c r="I55" i="48" s="1"/>
  <c r="D18" i="48" s="1"/>
  <c r="H54" i="48"/>
  <c r="G54" i="48" s="1"/>
  <c r="I54" i="48" s="1"/>
  <c r="D17" i="48" s="1"/>
  <c r="H53" i="48"/>
  <c r="G53" i="48" s="1"/>
  <c r="I53" i="48" s="1"/>
  <c r="D16" i="48" s="1"/>
  <c r="H52" i="48"/>
  <c r="G52" i="48" s="1"/>
  <c r="I52" i="48" s="1"/>
  <c r="D15" i="48" s="1"/>
  <c r="H51" i="48"/>
  <c r="G51" i="48" s="1"/>
  <c r="I51" i="48" s="1"/>
  <c r="D14" i="48" s="1"/>
  <c r="H50" i="48"/>
  <c r="G50" i="48" s="1"/>
  <c r="I50" i="48" s="1"/>
  <c r="D13" i="48" s="1"/>
  <c r="H49" i="48"/>
  <c r="G49" i="48" s="1"/>
  <c r="I49" i="48" s="1"/>
  <c r="D12" i="48" s="1"/>
  <c r="H48" i="48"/>
  <c r="G48" i="48" s="1"/>
  <c r="I48" i="48" s="1"/>
  <c r="D11" i="48" s="1"/>
  <c r="H47" i="48"/>
  <c r="G47" i="48" s="1"/>
  <c r="I47" i="48" s="1"/>
  <c r="D10" i="48" s="1"/>
  <c r="H46" i="48"/>
  <c r="G46" i="48" s="1"/>
  <c r="I46" i="48" s="1"/>
  <c r="D9" i="48" s="1"/>
  <c r="H45" i="48"/>
  <c r="G45" i="48" s="1"/>
  <c r="I45" i="48" s="1"/>
  <c r="D8" i="48" s="1"/>
  <c r="H44" i="48"/>
  <c r="G44" i="48" s="1"/>
  <c r="I44" i="48" s="1"/>
  <c r="D7" i="48" s="1"/>
  <c r="H43" i="48"/>
  <c r="G43" i="48" s="1"/>
  <c r="I43" i="48" s="1"/>
  <c r="D6" i="48" s="1"/>
  <c r="H42" i="48"/>
  <c r="G42" i="48" s="1"/>
  <c r="I42" i="48" s="1"/>
  <c r="D5" i="48" s="1"/>
  <c r="H41" i="48"/>
  <c r="G41" i="48" s="1"/>
  <c r="I41" i="48" s="1"/>
  <c r="D4" i="48" s="1"/>
  <c r="D19" i="48" s="1"/>
  <c r="H55" i="49"/>
  <c r="G55" i="49" s="1"/>
  <c r="I55" i="49" s="1"/>
  <c r="D18" i="49" s="1"/>
  <c r="H54" i="49"/>
  <c r="G54" i="49" s="1"/>
  <c r="I54" i="49" s="1"/>
  <c r="D17" i="49" s="1"/>
  <c r="H53" i="49"/>
  <c r="G53" i="49" s="1"/>
  <c r="I53" i="49" s="1"/>
  <c r="D16" i="49" s="1"/>
  <c r="H52" i="49"/>
  <c r="G52" i="49" s="1"/>
  <c r="I52" i="49" s="1"/>
  <c r="D15" i="49" s="1"/>
  <c r="H51" i="49"/>
  <c r="G51" i="49" s="1"/>
  <c r="I51" i="49" s="1"/>
  <c r="D14" i="49" s="1"/>
  <c r="H50" i="49"/>
  <c r="G50" i="49" s="1"/>
  <c r="I50" i="49" s="1"/>
  <c r="D13" i="49" s="1"/>
  <c r="H49" i="49"/>
  <c r="G49" i="49" s="1"/>
  <c r="I49" i="49" s="1"/>
  <c r="D12" i="49" s="1"/>
  <c r="H48" i="49"/>
  <c r="G48" i="49" s="1"/>
  <c r="I48" i="49" s="1"/>
  <c r="D11" i="49" s="1"/>
  <c r="H47" i="49"/>
  <c r="G47" i="49" s="1"/>
  <c r="I47" i="49" s="1"/>
  <c r="D10" i="49" s="1"/>
  <c r="H46" i="49"/>
  <c r="G46" i="49" s="1"/>
  <c r="I46" i="49" s="1"/>
  <c r="D9" i="49" s="1"/>
  <c r="H45" i="49"/>
  <c r="G45" i="49" s="1"/>
  <c r="I45" i="49" s="1"/>
  <c r="D8" i="49" s="1"/>
  <c r="H44" i="49"/>
  <c r="G44" i="49" s="1"/>
  <c r="I44" i="49" s="1"/>
  <c r="D7" i="49" s="1"/>
  <c r="H43" i="49"/>
  <c r="G43" i="49" s="1"/>
  <c r="I43" i="49" s="1"/>
  <c r="D6" i="49" s="1"/>
  <c r="H42" i="49"/>
  <c r="G42" i="49" s="1"/>
  <c r="I42" i="49" s="1"/>
  <c r="D5" i="49" s="1"/>
  <c r="H41" i="49"/>
  <c r="G41" i="49" s="1"/>
  <c r="I41" i="49" s="1"/>
  <c r="D4" i="49" s="1"/>
  <c r="D19" i="49" s="1"/>
  <c r="H55" i="50"/>
  <c r="G55" i="50" s="1"/>
  <c r="I55" i="50" s="1"/>
  <c r="D18" i="50" s="1"/>
  <c r="H54" i="50"/>
  <c r="G54" i="50" s="1"/>
  <c r="I54" i="50" s="1"/>
  <c r="D17" i="50" s="1"/>
  <c r="H53" i="50"/>
  <c r="G53" i="50" s="1"/>
  <c r="I53" i="50" s="1"/>
  <c r="D16" i="50" s="1"/>
  <c r="H52" i="50"/>
  <c r="G52" i="50" s="1"/>
  <c r="I52" i="50" s="1"/>
  <c r="D15" i="50" s="1"/>
  <c r="H51" i="50"/>
  <c r="G51" i="50" s="1"/>
  <c r="I51" i="50" s="1"/>
  <c r="D14" i="50" s="1"/>
  <c r="H50" i="50"/>
  <c r="G50" i="50" s="1"/>
  <c r="I50" i="50" s="1"/>
  <c r="D13" i="50" s="1"/>
  <c r="H49" i="50"/>
  <c r="G49" i="50" s="1"/>
  <c r="I49" i="50" s="1"/>
  <c r="D12" i="50" s="1"/>
  <c r="H48" i="50"/>
  <c r="G48" i="50" s="1"/>
  <c r="I48" i="50" s="1"/>
  <c r="D11" i="50" s="1"/>
  <c r="H47" i="50"/>
  <c r="G47" i="50" s="1"/>
  <c r="I47" i="50" s="1"/>
  <c r="D10" i="50" s="1"/>
  <c r="H46" i="50"/>
  <c r="G46" i="50" s="1"/>
  <c r="I46" i="50" s="1"/>
  <c r="D9" i="50" s="1"/>
  <c r="H45" i="50"/>
  <c r="G45" i="50" s="1"/>
  <c r="I45" i="50" s="1"/>
  <c r="D8" i="50" s="1"/>
  <c r="H44" i="50"/>
  <c r="G44" i="50" s="1"/>
  <c r="I44" i="50" s="1"/>
  <c r="D7" i="50" s="1"/>
  <c r="H43" i="50"/>
  <c r="G43" i="50" s="1"/>
  <c r="I43" i="50" s="1"/>
  <c r="D6" i="50" s="1"/>
  <c r="H42" i="50"/>
  <c r="G42" i="50" s="1"/>
  <c r="I42" i="50" s="1"/>
  <c r="D5" i="50" s="1"/>
  <c r="H41" i="50"/>
  <c r="G41" i="50" s="1"/>
  <c r="I41" i="50" s="1"/>
  <c r="D4" i="50" s="1"/>
  <c r="D19" i="50" s="1"/>
  <c r="H55" i="51"/>
  <c r="G55" i="51" s="1"/>
  <c r="I55" i="51" s="1"/>
  <c r="D18" i="51" s="1"/>
  <c r="H54" i="51"/>
  <c r="G54" i="51" s="1"/>
  <c r="I54" i="51" s="1"/>
  <c r="D17" i="51" s="1"/>
  <c r="H53" i="51"/>
  <c r="G53" i="51" s="1"/>
  <c r="I53" i="51" s="1"/>
  <c r="D16" i="51" s="1"/>
  <c r="H52" i="51"/>
  <c r="G52" i="51" s="1"/>
  <c r="I52" i="51" s="1"/>
  <c r="D15" i="51" s="1"/>
  <c r="H51" i="51"/>
  <c r="G51" i="51" s="1"/>
  <c r="I51" i="51" s="1"/>
  <c r="D14" i="51" s="1"/>
  <c r="H50" i="51"/>
  <c r="G50" i="51" s="1"/>
  <c r="I50" i="51" s="1"/>
  <c r="D13" i="51" s="1"/>
  <c r="H49" i="51"/>
  <c r="G49" i="51" s="1"/>
  <c r="I49" i="51" s="1"/>
  <c r="D12" i="51" s="1"/>
  <c r="H48" i="51"/>
  <c r="G48" i="51" s="1"/>
  <c r="I48" i="51" s="1"/>
  <c r="D11" i="51" s="1"/>
  <c r="H47" i="51"/>
  <c r="G47" i="51" s="1"/>
  <c r="I47" i="51" s="1"/>
  <c r="D10" i="51" s="1"/>
  <c r="H46" i="51"/>
  <c r="G46" i="51" s="1"/>
  <c r="I46" i="51" s="1"/>
  <c r="D9" i="51" s="1"/>
  <c r="H45" i="51"/>
  <c r="G45" i="51" s="1"/>
  <c r="I45" i="51" s="1"/>
  <c r="D8" i="51" s="1"/>
  <c r="H44" i="51"/>
  <c r="G44" i="51" s="1"/>
  <c r="I44" i="51" s="1"/>
  <c r="D7" i="51" s="1"/>
  <c r="H43" i="51"/>
  <c r="G43" i="51" s="1"/>
  <c r="I43" i="51" s="1"/>
  <c r="D6" i="51" s="1"/>
  <c r="H42" i="51"/>
  <c r="G42" i="51" s="1"/>
  <c r="I42" i="51" s="1"/>
  <c r="D5" i="51" s="1"/>
  <c r="H41" i="51"/>
  <c r="G41" i="51" s="1"/>
  <c r="I41" i="51" s="1"/>
  <c r="D4" i="51" s="1"/>
  <c r="D19" i="51" s="1"/>
  <c r="H55" i="52"/>
  <c r="G55" i="52" s="1"/>
  <c r="I55" i="52" s="1"/>
  <c r="D18" i="52" s="1"/>
  <c r="H54" i="52"/>
  <c r="G54" i="52" s="1"/>
  <c r="I54" i="52" s="1"/>
  <c r="D17" i="52" s="1"/>
  <c r="H53" i="52"/>
  <c r="G53" i="52" s="1"/>
  <c r="I53" i="52" s="1"/>
  <c r="D16" i="52" s="1"/>
  <c r="H52" i="52"/>
  <c r="G52" i="52" s="1"/>
  <c r="I52" i="52" s="1"/>
  <c r="D15" i="52" s="1"/>
  <c r="H51" i="52"/>
  <c r="G51" i="52" s="1"/>
  <c r="I51" i="52" s="1"/>
  <c r="D14" i="52" s="1"/>
  <c r="H50" i="52"/>
  <c r="G50" i="52" s="1"/>
  <c r="I50" i="52" s="1"/>
  <c r="D13" i="52" s="1"/>
  <c r="H49" i="52"/>
  <c r="G49" i="52" s="1"/>
  <c r="I49" i="52" s="1"/>
  <c r="D12" i="52" s="1"/>
  <c r="H48" i="52"/>
  <c r="G48" i="52" s="1"/>
  <c r="I48" i="52" s="1"/>
  <c r="D11" i="52" s="1"/>
  <c r="H47" i="52"/>
  <c r="G47" i="52" s="1"/>
  <c r="I47" i="52" s="1"/>
  <c r="D10" i="52" s="1"/>
  <c r="H46" i="52"/>
  <c r="G46" i="52" s="1"/>
  <c r="I46" i="52" s="1"/>
  <c r="D9" i="52" s="1"/>
  <c r="H45" i="52"/>
  <c r="G45" i="52" s="1"/>
  <c r="I45" i="52" s="1"/>
  <c r="D8" i="52" s="1"/>
  <c r="H44" i="52"/>
  <c r="G44" i="52" s="1"/>
  <c r="I44" i="52" s="1"/>
  <c r="D7" i="52" s="1"/>
  <c r="H43" i="52"/>
  <c r="G43" i="52" s="1"/>
  <c r="I43" i="52" s="1"/>
  <c r="D6" i="52" s="1"/>
  <c r="H42" i="52"/>
  <c r="G42" i="52" s="1"/>
  <c r="I42" i="52" s="1"/>
  <c r="D5" i="52" s="1"/>
  <c r="H41" i="52"/>
  <c r="G41" i="52" s="1"/>
  <c r="I41" i="52" s="1"/>
  <c r="D4" i="52" s="1"/>
  <c r="D19" i="52" s="1"/>
  <c r="H48" i="4" l="1"/>
  <c r="G48" i="4" s="1"/>
  <c r="I48" i="4" s="1"/>
  <c r="D11" i="4" s="1"/>
  <c r="H44" i="4"/>
  <c r="G44" i="4" s="1"/>
  <c r="I44" i="4" s="1"/>
  <c r="D7" i="4" s="1"/>
  <c r="H50" i="4"/>
  <c r="G50" i="4" s="1"/>
  <c r="I50" i="4" s="1"/>
  <c r="D13" i="4" s="1"/>
  <c r="H54" i="4"/>
  <c r="G54" i="4" s="1"/>
  <c r="I54" i="4" s="1"/>
  <c r="D17" i="4" s="1"/>
  <c r="H43" i="4"/>
  <c r="G43" i="4" s="1"/>
  <c r="I43" i="4" s="1"/>
  <c r="D6" i="4" s="1"/>
  <c r="D19" i="4" s="1"/>
  <c r="H49" i="4"/>
  <c r="G49" i="4" s="1"/>
  <c r="I49" i="4" s="1"/>
  <c r="D12" i="4" s="1"/>
  <c r="H55" i="4"/>
  <c r="G55" i="4" s="1"/>
  <c r="I55" i="4" s="1"/>
  <c r="D18" i="4" s="1"/>
  <c r="H45" i="4"/>
  <c r="G45" i="4" s="1"/>
  <c r="I45" i="4" s="1"/>
  <c r="D8" i="4" s="1"/>
  <c r="H46" i="1"/>
  <c r="G46" i="1" s="1"/>
  <c r="I46" i="1" s="1"/>
  <c r="H52" i="1"/>
  <c r="G52" i="1" s="1"/>
  <c r="I52" i="1" s="1"/>
  <c r="D11" i="1" s="1"/>
  <c r="H58" i="1"/>
  <c r="G58" i="1" s="1"/>
  <c r="I58" i="1" s="1"/>
  <c r="H47" i="1"/>
  <c r="G47" i="1" s="1"/>
  <c r="I47" i="1" s="1"/>
  <c r="H53" i="1"/>
  <c r="G53" i="1" s="1"/>
  <c r="I53" i="1" s="1"/>
  <c r="D12" i="1" s="1"/>
  <c r="H59" i="1"/>
  <c r="G59" i="1" s="1"/>
  <c r="I59" i="1" s="1"/>
  <c r="H48" i="1"/>
  <c r="G48" i="1" s="1"/>
  <c r="I48" i="1" s="1"/>
  <c r="H54" i="1"/>
  <c r="G54" i="1" s="1"/>
  <c r="I54" i="1" s="1"/>
  <c r="D13" i="1" s="1"/>
  <c r="H60" i="1"/>
  <c r="G60" i="1" s="1"/>
  <c r="I60" i="1" s="1"/>
  <c r="D20" i="1" s="1"/>
  <c r="H57" i="1"/>
  <c r="G57" i="1" s="1"/>
  <c r="I57" i="1" s="1"/>
  <c r="D16" i="1" s="1"/>
  <c r="H49" i="1"/>
  <c r="G49" i="1" s="1"/>
  <c r="I49" i="1" s="1"/>
  <c r="D8" i="1" s="1"/>
  <c r="H55" i="1"/>
  <c r="G55" i="1" s="1"/>
  <c r="I55" i="1" s="1"/>
  <c r="D14" i="1" s="1"/>
  <c r="H45" i="1"/>
  <c r="G45" i="1" s="1"/>
  <c r="I45" i="1" s="1"/>
  <c r="D4" i="1" s="1"/>
  <c r="H51" i="1"/>
  <c r="G51" i="1" s="1"/>
  <c r="I51" i="1" s="1"/>
  <c r="D10" i="1" s="1"/>
  <c r="H50" i="1"/>
  <c r="G50" i="1" s="1"/>
  <c r="I50" i="1" s="1"/>
  <c r="D9" i="1" s="1"/>
  <c r="H56" i="1"/>
  <c r="D18" i="1" l="1"/>
  <c r="D19" i="1"/>
  <c r="G56" i="1"/>
  <c r="I56" i="1" s="1"/>
  <c r="D15" i="1" s="1"/>
  <c r="D17" i="1"/>
  <c r="D7" i="1"/>
  <c r="D6" i="1"/>
  <c r="D5" i="1"/>
  <c r="D21" i="1" l="1"/>
</calcChain>
</file>

<file path=xl/sharedStrings.xml><?xml version="1.0" encoding="utf-8"?>
<sst xmlns="http://schemas.openxmlformats.org/spreadsheetml/2006/main" count="2874" uniqueCount="95">
  <si>
    <t>HORAS POR DÍA</t>
  </si>
  <si>
    <t>PARTNER</t>
  </si>
  <si>
    <t>PROPINA</t>
  </si>
  <si>
    <t>IVETH</t>
  </si>
  <si>
    <t>EDMUNDO</t>
  </si>
  <si>
    <t>MARGOT</t>
  </si>
  <si>
    <t>RESPONSABLE</t>
  </si>
  <si>
    <t>RODRIGO</t>
  </si>
  <si>
    <t>LUIS</t>
  </si>
  <si>
    <t>FERNANDO</t>
  </si>
  <si>
    <t>JAVIER</t>
  </si>
  <si>
    <t>RICARDO</t>
  </si>
  <si>
    <t>NAYELI</t>
  </si>
  <si>
    <t>ENRIQUE</t>
  </si>
  <si>
    <t>OBETH</t>
  </si>
  <si>
    <t>FRANCISCO</t>
  </si>
  <si>
    <t>TOTAL</t>
  </si>
  <si>
    <t>ASIGANCIONES</t>
  </si>
  <si>
    <t>RETARDO</t>
  </si>
  <si>
    <t>FALTA</t>
  </si>
  <si>
    <t>INCAPACIDAD</t>
  </si>
  <si>
    <t>COMUNICADOS</t>
  </si>
  <si>
    <t>MICROS</t>
  </si>
  <si>
    <t>REPORTE DE HECHOS</t>
  </si>
  <si>
    <t>COFFEE TASTING</t>
  </si>
  <si>
    <t>JUNTA</t>
  </si>
  <si>
    <t>EXAMEN</t>
  </si>
  <si>
    <t>INVENTARIOS</t>
  </si>
  <si>
    <t>LIBRO</t>
  </si>
  <si>
    <t>UNIFORME</t>
  </si>
  <si>
    <t>HORAS</t>
  </si>
  <si>
    <t>id</t>
  </si>
  <si>
    <t>DÍA</t>
  </si>
  <si>
    <t>SEMANA</t>
  </si>
  <si>
    <t>DESCUENTO</t>
  </si>
  <si>
    <t>HORAS P/PROPINAS</t>
  </si>
  <si>
    <t>PROPINAS</t>
  </si>
  <si>
    <t>PORFIRIO</t>
  </si>
  <si>
    <t xml:space="preserve">JAVIER MERINO </t>
  </si>
  <si>
    <t>ERVING</t>
  </si>
  <si>
    <t xml:space="preserve">PAULINA </t>
  </si>
  <si>
    <t xml:space="preserve">FRANCISCO </t>
  </si>
  <si>
    <t xml:space="preserve">PORIFIRIO </t>
  </si>
  <si>
    <t>PAULINA</t>
  </si>
  <si>
    <t>javier merino</t>
  </si>
  <si>
    <t>KEVIN</t>
  </si>
  <si>
    <t>-</t>
  </si>
  <si>
    <t xml:space="preserve">PORFIRIO </t>
  </si>
  <si>
    <t>JAVIER MERINO</t>
  </si>
  <si>
    <t xml:space="preserve">JAVIER </t>
  </si>
  <si>
    <t xml:space="preserve">RICARDO </t>
  </si>
  <si>
    <t xml:space="preserve">NAYELI </t>
  </si>
  <si>
    <t>JAVIER MERINO0</t>
  </si>
  <si>
    <t>.</t>
  </si>
  <si>
    <t>luis</t>
  </si>
  <si>
    <t xml:space="preserve">RICRADO </t>
  </si>
  <si>
    <t>SEMANA 19</t>
  </si>
  <si>
    <t>+</t>
  </si>
  <si>
    <t xml:space="preserve">javier merino </t>
  </si>
  <si>
    <t xml:space="preserve">Javier Merino </t>
  </si>
  <si>
    <t>semana 24</t>
  </si>
  <si>
    <t xml:space="preserve">MISHEL </t>
  </si>
  <si>
    <t xml:space="preserve">LUIS </t>
  </si>
  <si>
    <t xml:space="preserve">KEVIN </t>
  </si>
  <si>
    <t>MISHEL</t>
  </si>
  <si>
    <t>NAYELI TOVAR</t>
  </si>
  <si>
    <t>VALERIA</t>
  </si>
  <si>
    <t>JAVIER  MERINO</t>
  </si>
  <si>
    <t>Porfirio</t>
  </si>
  <si>
    <t xml:space="preserve">javier Merino </t>
  </si>
  <si>
    <t>ERVIN</t>
  </si>
  <si>
    <t xml:space="preserve">PAULINA  </t>
  </si>
  <si>
    <t xml:space="preserve">ERVIN </t>
  </si>
  <si>
    <t>INC/VACA</t>
  </si>
  <si>
    <t>FATIMA</t>
  </si>
  <si>
    <t>NOEMI</t>
  </si>
  <si>
    <t>MARCO</t>
  </si>
  <si>
    <t>ElI NARVAEZ</t>
  </si>
  <si>
    <t>MITZU</t>
  </si>
  <si>
    <t>SHEYLA</t>
  </si>
  <si>
    <t>DANIELA</t>
  </si>
  <si>
    <t>ERIKA</t>
  </si>
  <si>
    <t xml:space="preserve">ARLETH </t>
  </si>
  <si>
    <t>JORGE</t>
  </si>
  <si>
    <t>ITALY</t>
  </si>
  <si>
    <t>JORNADA</t>
  </si>
  <si>
    <t>JANETH</t>
  </si>
  <si>
    <t>GEVER</t>
  </si>
  <si>
    <t>YAMILA</t>
  </si>
  <si>
    <t>BRYAN</t>
  </si>
  <si>
    <t>erika o</t>
  </si>
  <si>
    <t>DIEGO</t>
  </si>
  <si>
    <t>ROSS</t>
  </si>
  <si>
    <t>bryan</t>
  </si>
  <si>
    <t>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</si>
</sst>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"/>
  </numFmts>
  <fonts count="15" x14ac:knownFonts="1">
    <font>
      <sz val="11"/>
      <color rgb="FF000000"/>
      <name val="Calibri"/>
    </font>
    <font>
      <b/>
      <sz val="11"/>
      <color rgb="FF1F497D"/>
      <name val="Calibri"/>
      <family val="2"/>
    </font>
    <font>
      <b/>
      <sz val="11"/>
      <color rgb="FF3F3F3F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367909"/>
        <bgColor rgb="FF367909"/>
      </patternFill>
    </fill>
    <fill>
      <patternFill patternType="solid">
        <fgColor rgb="FFA5A5A5"/>
        <bgColor rgb="FFA5A5A5"/>
      </patternFill>
    </fill>
    <fill>
      <patternFill patternType="solid">
        <fgColor rgb="FF345727"/>
        <bgColor rgb="FF345727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95B3D7"/>
      </bottom>
      <diagonal/>
    </border>
    <border>
      <left/>
      <right/>
      <top/>
      <bottom style="medium">
        <color rgb="FF95B3D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/>
      <right/>
      <top/>
      <bottom/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164" fontId="3" fillId="3" borderId="4" xfId="0" applyNumberFormat="1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164" fontId="3" fillId="5" borderId="4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" fillId="2" borderId="3" xfId="0" applyFont="1" applyFill="1" applyBorder="1"/>
    <xf numFmtId="0" fontId="8" fillId="0" borderId="13" xfId="0" applyFont="1" applyBorder="1" applyAlignment="1">
      <alignment horizontal="right" vertical="center" wrapText="1"/>
    </xf>
    <xf numFmtId="0" fontId="8" fillId="0" borderId="1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164" fontId="10" fillId="0" borderId="0" xfId="0" applyNumberFormat="1" applyFont="1"/>
    <xf numFmtId="2" fontId="10" fillId="0" borderId="0" xfId="0" applyNumberFormat="1" applyFont="1"/>
    <xf numFmtId="2" fontId="10" fillId="0" borderId="0" xfId="0" applyNumberFormat="1" applyFont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12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0" fontId="2" fillId="2" borderId="20" xfId="0" applyFont="1" applyFill="1" applyBorder="1" applyAlignment="1">
      <alignment horizontal="left" vertical="center"/>
    </xf>
    <xf numFmtId="0" fontId="12" fillId="0" borderId="1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/>
    </xf>
    <xf numFmtId="0" fontId="13" fillId="2" borderId="19" xfId="0" applyFont="1" applyFill="1" applyBorder="1" applyAlignment="1">
      <alignment horizontal="left" vertical="center"/>
    </xf>
    <xf numFmtId="164" fontId="12" fillId="0" borderId="19" xfId="0" applyNumberFormat="1" applyFont="1" applyBorder="1"/>
    <xf numFmtId="0" fontId="1" fillId="2" borderId="5" xfId="0" applyFont="1" applyFill="1" applyBorder="1" applyAlignment="1">
      <alignment horizontal="center" vertical="center"/>
    </xf>
    <xf numFmtId="0" fontId="4" fillId="0" borderId="6" xfId="0" applyFont="1" applyBorder="1"/>
    <xf numFmtId="164" fontId="3" fillId="4" borderId="7" xfId="0" applyNumberFormat="1" applyFont="1" applyFill="1" applyBorder="1" applyAlignment="1">
      <alignment horizontal="center" vertical="center"/>
    </xf>
    <xf numFmtId="0" fontId="4" fillId="0" borderId="8" xfId="0" applyFont="1" applyBorder="1"/>
    <xf numFmtId="0" fontId="5" fillId="0" borderId="11" xfId="0" applyFont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5" xfId="0" applyFont="1" applyBorder="1"/>
    <xf numFmtId="0" fontId="1" fillId="2" borderId="17" xfId="0" applyFont="1" applyFill="1" applyBorder="1" applyAlignment="1">
      <alignment horizontal="center" vertical="center"/>
    </xf>
    <xf numFmtId="0" fontId="4" fillId="0" borderId="18" xfId="0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19" xfId="0" applyFont="1" applyBorder="1" applyAlignment="1">
      <alignment horizontal="center"/>
    </xf>
    <xf numFmtId="0" fontId="14" fillId="2" borderId="19" xfId="0" applyFont="1" applyFill="1" applyBorder="1" applyAlignment="1">
      <alignment horizontal="left" vertical="center"/>
    </xf>
    <xf numFmtId="164" fontId="11" fillId="0" borderId="19" xfId="0" applyNumberFormat="1" applyFont="1" applyBorder="1"/>
    <xf numFmtId="2" fontId="11" fillId="0" borderId="0" xfId="0" applyNumberFormat="1" applyFont="1"/>
    <xf numFmtId="2" fontId="11" fillId="0" borderId="0" xfId="0" applyNumberFormat="1" applyFont="1" applyAlignment="1">
      <alignment horizontal="center" vertical="center"/>
    </xf>
    <xf numFmtId="164" fontId="11" fillId="0" borderId="0" xfId="0" applyNumberFormat="1" applyFont="1"/>
    <xf numFmtId="0" fontId="0" fillId="0" borderId="19" xfId="0" applyBorder="1" applyAlignment="1">
      <alignment horizontal="center"/>
    </xf>
    <xf numFmtId="0" fontId="8" fillId="0" borderId="19" xfId="0" applyFont="1" applyBorder="1" applyAlignment="1">
      <alignment horizontal="right" vertical="center" wrapText="1"/>
    </xf>
    <xf numFmtId="0" fontId="8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5"/>
  <sheetViews>
    <sheetView tabSelected="1" zoomScale="85" zoomScaleNormal="85" workbookViewId="0">
      <selection activeCell="B7" sqref="B7"/>
    </sheetView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3" width="15.85546875" customWidth="1"/>
    <col min="4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10.2851562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31"/>
      <c r="I2" s="31"/>
      <c r="J2" s="1"/>
      <c r="K2" s="1"/>
      <c r="L2" s="1"/>
      <c r="M2" s="1"/>
      <c r="N2" s="1"/>
      <c r="O2" s="1"/>
      <c r="P2" s="1"/>
      <c r="Q2" s="1"/>
    </row>
    <row r="3" spans="1:17" ht="15.75" thickBot="1" x14ac:dyDescent="0.3">
      <c r="A3" s="1"/>
      <c r="B3" s="2" t="s">
        <v>85</v>
      </c>
      <c r="C3" s="2" t="s">
        <v>1</v>
      </c>
      <c r="D3" s="2" t="s">
        <v>2</v>
      </c>
      <c r="E3" s="1"/>
      <c r="F3" s="3" t="s">
        <v>2</v>
      </c>
      <c r="G3" s="1"/>
      <c r="H3" s="31"/>
      <c r="I3" s="31"/>
      <c r="J3" s="1"/>
      <c r="K3" s="1"/>
      <c r="L3" s="1"/>
      <c r="M3" s="1"/>
      <c r="N3" s="1"/>
      <c r="O3" s="1"/>
      <c r="P3" s="1"/>
      <c r="Q3" s="1"/>
    </row>
    <row r="4" spans="1:17" ht="16.5" thickTop="1" thickBot="1" x14ac:dyDescent="0.3">
      <c r="A4" s="1">
        <v>1</v>
      </c>
      <c r="B4" s="4">
        <v>56</v>
      </c>
      <c r="C4" s="5" t="s">
        <v>87</v>
      </c>
      <c r="D4" s="6">
        <f>ROUND(I45,0)</f>
        <v>211</v>
      </c>
      <c r="E4" s="1"/>
      <c r="F4" s="7">
        <v>2311</v>
      </c>
      <c r="G4" s="1"/>
      <c r="H4" s="32">
        <v>6</v>
      </c>
      <c r="I4" s="31"/>
      <c r="J4" s="31"/>
      <c r="K4" s="1"/>
      <c r="L4" s="1"/>
      <c r="M4" s="1"/>
      <c r="N4" s="1"/>
      <c r="O4" s="1"/>
      <c r="P4" s="1"/>
      <c r="Q4" s="1"/>
    </row>
    <row r="5" spans="1:17" ht="14.25" customHeight="1" thickTop="1" thickBot="1" x14ac:dyDescent="0.3">
      <c r="A5" s="1">
        <v>2</v>
      </c>
      <c r="B5" s="4">
        <v>56</v>
      </c>
      <c r="C5" s="5" t="s">
        <v>82</v>
      </c>
      <c r="D5" s="6">
        <f>ROUND(I46,0)</f>
        <v>211</v>
      </c>
      <c r="E5" s="1"/>
      <c r="F5" s="1"/>
      <c r="G5" s="1"/>
      <c r="H5" s="32">
        <v>5</v>
      </c>
      <c r="I5" s="31"/>
      <c r="J5" s="31"/>
      <c r="K5" s="1"/>
      <c r="L5" s="1"/>
      <c r="M5" s="1"/>
      <c r="N5" s="1"/>
      <c r="O5" s="1"/>
      <c r="P5" s="1"/>
      <c r="Q5" s="1"/>
    </row>
    <row r="6" spans="1:17" ht="16.5" thickTop="1" thickBot="1" x14ac:dyDescent="0.3">
      <c r="A6" s="1">
        <v>3</v>
      </c>
      <c r="B6" s="4">
        <v>64</v>
      </c>
      <c r="C6" s="5" t="s">
        <v>74</v>
      </c>
      <c r="D6" s="6">
        <f>ROUND(I47,0)</f>
        <v>242</v>
      </c>
      <c r="E6" s="1"/>
      <c r="F6" s="40" t="s">
        <v>6</v>
      </c>
      <c r="G6" s="41"/>
      <c r="H6" s="32">
        <v>4</v>
      </c>
      <c r="I6" s="31"/>
      <c r="J6" s="31"/>
      <c r="K6" s="31"/>
      <c r="L6" s="31"/>
      <c r="M6" s="31"/>
      <c r="N6" s="1"/>
      <c r="O6" s="1"/>
      <c r="P6" s="1"/>
      <c r="Q6" s="1"/>
    </row>
    <row r="7" spans="1:17" ht="16.5" thickTop="1" thickBot="1" x14ac:dyDescent="0.3">
      <c r="A7" s="1">
        <v>4</v>
      </c>
      <c r="B7" s="4">
        <v>64</v>
      </c>
      <c r="C7" s="5" t="s">
        <v>78</v>
      </c>
      <c r="D7" s="6">
        <f>ROUND(I48,0)</f>
        <v>242</v>
      </c>
      <c r="E7" s="1"/>
      <c r="F7" s="42" t="s">
        <v>90</v>
      </c>
      <c r="G7" s="43"/>
      <c r="H7" s="32">
        <v>5</v>
      </c>
      <c r="I7" s="31"/>
      <c r="J7" s="31"/>
      <c r="K7" s="31"/>
      <c r="L7" s="31"/>
      <c r="M7" s="31"/>
      <c r="N7" s="1"/>
      <c r="O7" s="1"/>
      <c r="P7" s="1"/>
      <c r="Q7" s="1"/>
    </row>
    <row r="8" spans="1:17" ht="16.5" thickTop="1" thickBot="1" x14ac:dyDescent="0.3">
      <c r="A8" s="1">
        <v>5</v>
      </c>
      <c r="B8" s="4">
        <v>32</v>
      </c>
      <c r="C8" s="5" t="s">
        <v>75</v>
      </c>
      <c r="D8" s="6">
        <f>ROUND(I49,0)</f>
        <v>121</v>
      </c>
      <c r="E8" s="1"/>
      <c r="F8" s="1"/>
      <c r="G8" s="1"/>
      <c r="H8" s="32">
        <v>5</v>
      </c>
      <c r="I8" s="31"/>
      <c r="J8" s="31"/>
      <c r="K8" s="31"/>
      <c r="L8" s="31"/>
      <c r="M8" s="31"/>
      <c r="N8" s="1"/>
      <c r="O8" s="1"/>
      <c r="P8" s="1"/>
      <c r="Q8" s="1"/>
    </row>
    <row r="9" spans="1:17" ht="16.5" thickTop="1" thickBot="1" x14ac:dyDescent="0.3">
      <c r="A9" s="1">
        <v>6</v>
      </c>
      <c r="B9" s="4">
        <v>40</v>
      </c>
      <c r="C9" s="5" t="s">
        <v>79</v>
      </c>
      <c r="D9" s="6">
        <f t="shared" ref="D9:D16" si="0">ROUND(I50,0)</f>
        <v>151</v>
      </c>
      <c r="E9" s="1"/>
      <c r="F9" s="1"/>
      <c r="G9" s="1"/>
      <c r="H9" s="32">
        <v>5</v>
      </c>
      <c r="I9" s="31"/>
      <c r="J9" s="31"/>
      <c r="K9" s="31"/>
      <c r="L9" s="31"/>
      <c r="M9" s="31"/>
      <c r="N9" s="1"/>
      <c r="O9" s="1"/>
      <c r="P9" s="1"/>
      <c r="Q9" s="1"/>
    </row>
    <row r="10" spans="1:17" ht="16.5" thickTop="1" thickBot="1" x14ac:dyDescent="0.3">
      <c r="A10" s="1">
        <v>7</v>
      </c>
      <c r="B10" s="4">
        <v>32</v>
      </c>
      <c r="C10" s="5" t="s">
        <v>7</v>
      </c>
      <c r="D10" s="6">
        <f t="shared" si="0"/>
        <v>121</v>
      </c>
      <c r="E10" s="1"/>
      <c r="F10" s="1"/>
      <c r="G10" s="1"/>
      <c r="H10" s="32">
        <v>3</v>
      </c>
      <c r="I10" s="31"/>
      <c r="J10" s="31"/>
      <c r="K10" s="31"/>
      <c r="L10" s="31"/>
      <c r="M10" s="31"/>
      <c r="N10" s="1"/>
      <c r="O10" s="1"/>
      <c r="P10" s="1"/>
      <c r="Q10" s="1"/>
    </row>
    <row r="11" spans="1:17" ht="16.5" thickTop="1" thickBot="1" x14ac:dyDescent="0.3">
      <c r="A11" s="1">
        <v>8</v>
      </c>
      <c r="B11" s="4">
        <v>32</v>
      </c>
      <c r="C11" s="5" t="s">
        <v>88</v>
      </c>
      <c r="D11" s="6">
        <f t="shared" si="0"/>
        <v>0</v>
      </c>
      <c r="E11" s="1"/>
      <c r="F11" s="1"/>
      <c r="G11" s="1"/>
      <c r="H11" s="32">
        <v>4.5</v>
      </c>
      <c r="I11" s="31"/>
      <c r="J11" s="31"/>
      <c r="K11" s="31"/>
      <c r="L11" s="31"/>
      <c r="M11" s="31"/>
      <c r="N11" s="1"/>
      <c r="O11" s="1"/>
      <c r="P11" s="1"/>
      <c r="Q11" s="1"/>
    </row>
    <row r="12" spans="1:17" ht="16.5" thickTop="1" thickBot="1" x14ac:dyDescent="0.3">
      <c r="A12" s="1">
        <v>9</v>
      </c>
      <c r="B12" s="4">
        <v>32</v>
      </c>
      <c r="C12" s="5" t="s">
        <v>80</v>
      </c>
      <c r="D12" s="6">
        <f t="shared" si="0"/>
        <v>121</v>
      </c>
      <c r="E12" s="1"/>
      <c r="F12" s="1"/>
      <c r="G12" s="1"/>
      <c r="H12" s="32">
        <v>4</v>
      </c>
      <c r="I12" s="31"/>
      <c r="J12" s="31"/>
      <c r="K12" s="31"/>
      <c r="L12" s="31"/>
      <c r="M12" s="31"/>
      <c r="N12" s="1"/>
      <c r="O12" s="1"/>
      <c r="P12" s="1"/>
      <c r="Q12" s="1"/>
    </row>
    <row r="13" spans="1:17" ht="16.5" thickTop="1" thickBot="1" x14ac:dyDescent="0.3">
      <c r="A13" s="1">
        <v>10</v>
      </c>
      <c r="B13" s="4">
        <v>32</v>
      </c>
      <c r="C13" s="5" t="s">
        <v>76</v>
      </c>
      <c r="D13" s="6">
        <f t="shared" si="0"/>
        <v>121</v>
      </c>
      <c r="E13" s="1"/>
      <c r="F13" s="1"/>
      <c r="G13" s="1"/>
      <c r="H13" s="32">
        <v>4</v>
      </c>
      <c r="I13" s="31"/>
      <c r="J13" s="31"/>
      <c r="K13" s="31"/>
      <c r="L13" s="31"/>
      <c r="M13" s="31"/>
      <c r="N13" s="1"/>
      <c r="O13" s="1"/>
      <c r="P13" s="1"/>
      <c r="Q13" s="1"/>
    </row>
    <row r="14" spans="1:17" ht="16.5" thickTop="1" thickBot="1" x14ac:dyDescent="0.3">
      <c r="A14" s="1">
        <v>11</v>
      </c>
      <c r="B14" s="4">
        <v>40</v>
      </c>
      <c r="C14" s="5" t="s">
        <v>81</v>
      </c>
      <c r="D14" s="6">
        <f t="shared" si="0"/>
        <v>151</v>
      </c>
      <c r="E14" s="1"/>
      <c r="F14" s="1"/>
      <c r="G14" s="1"/>
      <c r="H14" s="32">
        <v>5</v>
      </c>
      <c r="I14" s="31"/>
      <c r="J14" s="31"/>
      <c r="K14" s="31"/>
      <c r="L14" s="31"/>
      <c r="M14" s="31"/>
      <c r="N14" s="1"/>
      <c r="O14" s="1"/>
      <c r="P14" s="1"/>
      <c r="Q14" s="1"/>
    </row>
    <row r="15" spans="1:17" ht="16.5" thickTop="1" thickBot="1" x14ac:dyDescent="0.3">
      <c r="A15" s="1">
        <v>12</v>
      </c>
      <c r="B15" s="4">
        <v>32</v>
      </c>
      <c r="C15" s="35" t="s">
        <v>83</v>
      </c>
      <c r="D15" s="6">
        <f t="shared" si="0"/>
        <v>121</v>
      </c>
      <c r="E15" s="1"/>
      <c r="F15" s="1"/>
      <c r="G15" s="1"/>
      <c r="H15" s="32">
        <v>5</v>
      </c>
      <c r="I15" s="31"/>
      <c r="J15" s="31"/>
      <c r="K15" s="31"/>
      <c r="L15" s="31"/>
      <c r="M15" s="31"/>
      <c r="N15" s="1"/>
      <c r="O15" s="1"/>
      <c r="P15" s="1"/>
      <c r="Q15" s="1"/>
    </row>
    <row r="16" spans="1:17" ht="16.5" thickTop="1" thickBot="1" x14ac:dyDescent="0.3">
      <c r="A16" s="1">
        <v>13</v>
      </c>
      <c r="B16" s="4">
        <v>32</v>
      </c>
      <c r="C16" s="5" t="s">
        <v>84</v>
      </c>
      <c r="D16" s="6">
        <f t="shared" si="0"/>
        <v>121</v>
      </c>
      <c r="E16" s="1"/>
      <c r="F16" s="1"/>
      <c r="G16" s="1"/>
      <c r="H16" s="32">
        <v>5</v>
      </c>
      <c r="I16" s="31"/>
      <c r="J16" s="31"/>
      <c r="K16" s="31"/>
      <c r="L16" s="31"/>
      <c r="M16" s="31"/>
      <c r="N16" s="1"/>
      <c r="O16" s="1"/>
      <c r="P16" s="1"/>
      <c r="Q16" s="1"/>
    </row>
    <row r="17" spans="1:17" ht="16.5" thickTop="1" thickBot="1" x14ac:dyDescent="0.3">
      <c r="A17" s="1">
        <v>14</v>
      </c>
      <c r="B17" s="4">
        <v>40</v>
      </c>
      <c r="C17" s="35" t="s">
        <v>86</v>
      </c>
      <c r="D17" s="6">
        <f>ROUND(I58,0)</f>
        <v>121</v>
      </c>
      <c r="E17" s="1"/>
      <c r="F17" s="1"/>
      <c r="G17" s="1"/>
      <c r="H17" s="32">
        <v>5</v>
      </c>
      <c r="I17" s="31"/>
      <c r="J17" s="1"/>
      <c r="K17" s="1"/>
      <c r="L17" s="1"/>
      <c r="M17" s="1"/>
      <c r="N17" s="1"/>
      <c r="O17" s="1"/>
      <c r="P17" s="1"/>
      <c r="Q17" s="1"/>
    </row>
    <row r="18" spans="1:17" ht="16.5" thickTop="1" thickBot="1" x14ac:dyDescent="0.3">
      <c r="A18" s="1"/>
      <c r="B18" s="4">
        <v>36</v>
      </c>
      <c r="C18" s="5" t="s">
        <v>89</v>
      </c>
      <c r="D18" s="6">
        <f>ROUND(I59,0)</f>
        <v>136</v>
      </c>
      <c r="E18" s="1"/>
      <c r="F18" s="1"/>
      <c r="G18" s="1"/>
      <c r="H18" s="32">
        <v>6</v>
      </c>
      <c r="I18" s="31"/>
      <c r="J18" s="1"/>
      <c r="K18" s="1"/>
      <c r="L18" s="1"/>
      <c r="M18" s="1"/>
      <c r="N18" s="1"/>
      <c r="O18" s="1"/>
      <c r="P18" s="1"/>
      <c r="Q18" s="1"/>
    </row>
    <row r="19" spans="1:17" ht="16.5" thickTop="1" thickBot="1" x14ac:dyDescent="0.3">
      <c r="A19" s="1"/>
      <c r="B19" s="4">
        <v>32</v>
      </c>
      <c r="C19" s="5" t="s">
        <v>91</v>
      </c>
      <c r="D19" s="6">
        <f>ROUND(I59,0)</f>
        <v>136</v>
      </c>
      <c r="E19" s="1"/>
      <c r="F19" s="1"/>
      <c r="G19" s="1"/>
      <c r="H19" s="32">
        <v>5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ht="16.5" thickTop="1" thickBot="1" x14ac:dyDescent="0.3">
      <c r="A20" s="1"/>
      <c r="B20" s="4">
        <v>32</v>
      </c>
      <c r="C20" s="5" t="s">
        <v>92</v>
      </c>
      <c r="D20" s="6">
        <f>ROUND(I60,0)</f>
        <v>121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6.5" thickTop="1" thickBot="1" x14ac:dyDescent="0.3">
      <c r="A21" s="1"/>
      <c r="B21" s="1"/>
      <c r="C21" s="1"/>
      <c r="D21" s="8">
        <f>SUM(D4:D20)</f>
        <v>2448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.75" customHeight="1" thickTop="1" x14ac:dyDescent="0.25">
      <c r="A22" s="1"/>
      <c r="B22" s="1"/>
      <c r="C22" s="1"/>
      <c r="D22" s="1"/>
      <c r="E22" s="10">
        <v>1</v>
      </c>
      <c r="F22" s="10">
        <v>3</v>
      </c>
      <c r="G22" s="10">
        <v>1</v>
      </c>
      <c r="H22" s="10">
        <v>2</v>
      </c>
      <c r="I22" s="10">
        <v>2</v>
      </c>
      <c r="J22" s="10">
        <v>3</v>
      </c>
      <c r="K22" s="10">
        <v>2</v>
      </c>
      <c r="L22" s="10">
        <v>2</v>
      </c>
      <c r="M22" s="10">
        <v>2</v>
      </c>
      <c r="N22" s="10">
        <v>2</v>
      </c>
      <c r="O22" s="44" t="s">
        <v>16</v>
      </c>
      <c r="P22" s="45"/>
      <c r="Q22" s="1"/>
    </row>
    <row r="23" spans="1:17" ht="15.75" customHeight="1" x14ac:dyDescent="0.25">
      <c r="A23" s="1"/>
      <c r="B23" s="9">
        <v>1</v>
      </c>
      <c r="C23" s="10">
        <v>1</v>
      </c>
      <c r="D23" s="10">
        <v>1</v>
      </c>
      <c r="E23" s="13" t="s">
        <v>73</v>
      </c>
      <c r="F23" s="14" t="s">
        <v>21</v>
      </c>
      <c r="G23" s="13" t="s">
        <v>22</v>
      </c>
      <c r="H23" s="11" t="s">
        <v>23</v>
      </c>
      <c r="I23" s="13" t="s">
        <v>24</v>
      </c>
      <c r="J23" s="13" t="s">
        <v>25</v>
      </c>
      <c r="K23" s="13" t="s">
        <v>26</v>
      </c>
      <c r="L23" s="14" t="s">
        <v>27</v>
      </c>
      <c r="M23" s="13" t="s">
        <v>28</v>
      </c>
      <c r="N23" s="13" t="s">
        <v>29</v>
      </c>
      <c r="O23" s="46"/>
      <c r="P23" s="47"/>
      <c r="Q23" s="1"/>
    </row>
    <row r="24" spans="1:17" ht="15.75" customHeight="1" x14ac:dyDescent="0.25">
      <c r="B24" s="12" t="s">
        <v>17</v>
      </c>
      <c r="C24" s="13" t="s">
        <v>18</v>
      </c>
      <c r="D24" s="13" t="s">
        <v>19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>D46</f>
        <v>0</v>
      </c>
      <c r="P24" s="17" t="s">
        <v>30</v>
      </c>
      <c r="Q24" s="1"/>
    </row>
    <row r="25" spans="1:17" ht="15.75" customHeight="1" x14ac:dyDescent="0.25">
      <c r="A25" s="11" t="s">
        <v>1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>D47</f>
        <v>0</v>
      </c>
      <c r="P25" s="17" t="s">
        <v>30</v>
      </c>
      <c r="Q25" s="1"/>
    </row>
    <row r="26" spans="1:17" ht="15.75" customHeight="1" x14ac:dyDescent="0.25">
      <c r="A26" s="5" t="s">
        <v>93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>D48</f>
        <v>0</v>
      </c>
      <c r="P26" s="17" t="s">
        <v>30</v>
      </c>
      <c r="Q26" s="1"/>
    </row>
    <row r="27" spans="1:17" ht="15.75" customHeight="1" x14ac:dyDescent="0.25">
      <c r="A27" s="5" t="s">
        <v>82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>D49</f>
        <v>0</v>
      </c>
      <c r="P27" s="17" t="s">
        <v>30</v>
      </c>
      <c r="Q27" s="1"/>
    </row>
    <row r="28" spans="1:17" ht="15.75" customHeight="1" x14ac:dyDescent="0.25">
      <c r="A28" s="5" t="s">
        <v>74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>D50</f>
        <v>0</v>
      </c>
      <c r="P28" s="17" t="s">
        <v>30</v>
      </c>
      <c r="Q28" s="1"/>
    </row>
    <row r="29" spans="1:17" ht="15.75" customHeight="1" x14ac:dyDescent="0.25">
      <c r="A29" s="5" t="s">
        <v>78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6">
        <f>D51</f>
        <v>0</v>
      </c>
      <c r="P29" s="17" t="s">
        <v>30</v>
      </c>
      <c r="Q29" s="1"/>
    </row>
    <row r="30" spans="1:17" ht="15.75" customHeight="1" x14ac:dyDescent="0.25">
      <c r="A30" s="5" t="s">
        <v>75</v>
      </c>
      <c r="B30" s="11"/>
      <c r="C30" s="11"/>
      <c r="D30" s="11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>D52</f>
        <v>0</v>
      </c>
      <c r="P30" s="17" t="s">
        <v>30</v>
      </c>
      <c r="Q30" s="1"/>
    </row>
    <row r="31" spans="1:17" ht="15.75" customHeight="1" x14ac:dyDescent="0.25">
      <c r="A31" s="5" t="s">
        <v>79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>D53</f>
        <v>64</v>
      </c>
      <c r="P31" s="17" t="s">
        <v>30</v>
      </c>
      <c r="Q31" s="1"/>
    </row>
    <row r="32" spans="1:17" ht="15.75" customHeight="1" x14ac:dyDescent="0.25">
      <c r="A32" s="5" t="s">
        <v>88</v>
      </c>
      <c r="B32" s="18"/>
      <c r="C32" s="18"/>
      <c r="D32" s="18">
        <v>2</v>
      </c>
      <c r="E32" s="18"/>
      <c r="F32" s="18"/>
      <c r="G32" s="18"/>
      <c r="H32" s="18"/>
      <c r="I32" s="18"/>
      <c r="J32" s="18"/>
      <c r="K32" s="18"/>
      <c r="L32" s="18"/>
      <c r="M32" s="11"/>
      <c r="N32" s="18"/>
      <c r="O32" s="16">
        <f>D54</f>
        <v>0</v>
      </c>
      <c r="P32" s="17" t="s">
        <v>30</v>
      </c>
      <c r="Q32" s="1"/>
    </row>
    <row r="33" spans="1:17" ht="15.75" customHeight="1" x14ac:dyDescent="0.25">
      <c r="A33" s="5" t="s">
        <v>7</v>
      </c>
      <c r="B33" s="18"/>
      <c r="C33" s="18"/>
      <c r="D33" s="18"/>
      <c r="E33" s="18"/>
      <c r="F33" s="19"/>
      <c r="G33" s="19"/>
      <c r="H33" s="19"/>
      <c r="I33" s="20"/>
      <c r="J33" s="19"/>
      <c r="K33" s="19"/>
      <c r="L33" s="19"/>
      <c r="M33" s="19"/>
      <c r="N33" s="19"/>
      <c r="O33" s="16">
        <f>D55</f>
        <v>0</v>
      </c>
      <c r="P33" s="17" t="s">
        <v>30</v>
      </c>
      <c r="Q33" s="1"/>
    </row>
    <row r="34" spans="1:17" ht="15.75" customHeight="1" x14ac:dyDescent="0.25">
      <c r="A34" s="5" t="s">
        <v>80</v>
      </c>
      <c r="B34" s="19"/>
      <c r="C34" s="19"/>
      <c r="D34" s="19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6">
        <f>D56</f>
        <v>0</v>
      </c>
      <c r="P34" s="17" t="s">
        <v>30</v>
      </c>
      <c r="Q34" s="1"/>
    </row>
    <row r="35" spans="1:17" ht="15.75" customHeight="1" x14ac:dyDescent="0.25">
      <c r="A35" s="5" t="s">
        <v>76</v>
      </c>
      <c r="B35" s="18"/>
      <c r="C35" s="18"/>
      <c r="D35" s="18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6">
        <f>D57</f>
        <v>0</v>
      </c>
      <c r="P35" s="17" t="s">
        <v>30</v>
      </c>
      <c r="Q35" s="1"/>
    </row>
    <row r="36" spans="1:17" ht="15.75" customHeight="1" x14ac:dyDescent="0.25">
      <c r="A36" s="5" t="s">
        <v>81</v>
      </c>
      <c r="B36" s="11"/>
      <c r="C36" s="11"/>
      <c r="D36" s="11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>D58</f>
        <v>0</v>
      </c>
      <c r="P36" s="17" t="s">
        <v>30</v>
      </c>
      <c r="Q36" s="1"/>
    </row>
    <row r="37" spans="1:17" ht="15.75" customHeight="1" x14ac:dyDescent="0.25">
      <c r="A37" s="35" t="s">
        <v>83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>D59</f>
        <v>0</v>
      </c>
      <c r="P37" s="17" t="s">
        <v>30</v>
      </c>
      <c r="Q37" s="1"/>
    </row>
    <row r="38" spans="1:17" ht="15.75" customHeight="1" x14ac:dyDescent="0.25">
      <c r="A38" s="35" t="s">
        <v>86</v>
      </c>
      <c r="B38" s="21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6"/>
      <c r="P38" s="17"/>
      <c r="Q38" s="1"/>
    </row>
    <row r="39" spans="1:17" ht="15.75" customHeight="1" x14ac:dyDescent="0.25">
      <c r="A39" s="5" t="s">
        <v>84</v>
      </c>
      <c r="B39" s="21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6">
        <f>D60</f>
        <v>0</v>
      </c>
      <c r="P39" s="17" t="s">
        <v>30</v>
      </c>
      <c r="Q39" s="1"/>
    </row>
    <row r="40" spans="1:17" ht="15.75" customHeight="1" x14ac:dyDescent="0.25">
      <c r="A40" s="30" t="s">
        <v>91</v>
      </c>
      <c r="B40" s="21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6"/>
      <c r="P40" s="17"/>
      <c r="Q40" s="1"/>
    </row>
    <row r="41" spans="1:17" ht="15.75" customHeight="1" x14ac:dyDescent="0.25">
      <c r="A41" s="30" t="s">
        <v>94</v>
      </c>
      <c r="B41" s="21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6">
        <f>D61</f>
        <v>0</v>
      </c>
      <c r="P41" s="17" t="s">
        <v>30</v>
      </c>
      <c r="Q41" s="1"/>
    </row>
    <row r="42" spans="1:17" ht="15.75" customHeight="1" x14ac:dyDescent="0.25">
      <c r="A42" s="30"/>
      <c r="B42" s="21"/>
      <c r="C42" s="18"/>
      <c r="D42" s="1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9"/>
      <c r="P42" s="60"/>
      <c r="Q42" s="1"/>
    </row>
    <row r="43" spans="1:17" ht="15.75" customHeight="1" x14ac:dyDescent="0.25">
      <c r="A43" s="30"/>
      <c r="B43" s="21"/>
      <c r="C43" s="18"/>
      <c r="D43" s="18"/>
      <c r="E43" s="32"/>
      <c r="F43" s="32"/>
      <c r="G43" s="32"/>
      <c r="H43" s="32"/>
      <c r="I43" s="32"/>
      <c r="J43" s="32"/>
      <c r="K43" s="31"/>
      <c r="L43" s="31"/>
      <c r="M43" s="31"/>
      <c r="N43" s="31"/>
      <c r="O43" s="31"/>
      <c r="P43" s="31"/>
      <c r="Q43" s="1"/>
    </row>
    <row r="44" spans="1:17" ht="15.75" customHeight="1" x14ac:dyDescent="0.25">
      <c r="A44" s="30"/>
      <c r="B44" s="32"/>
      <c r="C44" s="32"/>
      <c r="D44" s="32"/>
      <c r="E44" s="36" t="s">
        <v>35</v>
      </c>
      <c r="F44" s="36" t="s">
        <v>1</v>
      </c>
      <c r="G44" s="36" t="s">
        <v>36</v>
      </c>
      <c r="H44" s="32"/>
      <c r="I44" s="32"/>
      <c r="J44" s="32"/>
      <c r="K44" s="31"/>
      <c r="L44" s="31"/>
      <c r="M44" s="31"/>
      <c r="N44" s="31"/>
      <c r="O44" s="31"/>
      <c r="P44" s="31"/>
      <c r="Q44" s="31"/>
    </row>
    <row r="45" spans="1:17" ht="15.75" customHeight="1" x14ac:dyDescent="0.25">
      <c r="A45" s="32"/>
      <c r="B45" s="32" t="s">
        <v>32</v>
      </c>
      <c r="C45" s="32" t="s">
        <v>33</v>
      </c>
      <c r="D45" s="32" t="s">
        <v>34</v>
      </c>
      <c r="E45" s="37">
        <f>C46-D46</f>
        <v>112</v>
      </c>
      <c r="F45" s="38" t="s">
        <v>77</v>
      </c>
      <c r="G45" s="39">
        <f t="shared" ref="G45:G59" si="1">H45*E45</f>
        <v>211.46405228758169</v>
      </c>
      <c r="H45" s="33">
        <f>F$4/SUM(J$45:J$60)</f>
        <v>1.8880718954248366</v>
      </c>
      <c r="I45" s="34">
        <f t="shared" ref="I45:I59" si="2">IF(G45&lt;0,0,G45)</f>
        <v>211.46405228758169</v>
      </c>
      <c r="J45" s="32">
        <f t="shared" ref="J45:J58" si="3">IF(E45&lt;0,0,E45)</f>
        <v>112</v>
      </c>
      <c r="K45" s="31"/>
      <c r="L45" s="31"/>
      <c r="M45" s="31"/>
      <c r="N45" s="31"/>
      <c r="O45" s="31"/>
      <c r="P45" s="31"/>
      <c r="Q45" s="31"/>
    </row>
    <row r="46" spans="1:17" ht="15.75" customHeight="1" x14ac:dyDescent="0.25">
      <c r="A46" s="50" t="s">
        <v>31</v>
      </c>
      <c r="B46" s="51">
        <f>$B4</f>
        <v>56</v>
      </c>
      <c r="C46" s="51">
        <f>B46*2</f>
        <v>112</v>
      </c>
      <c r="D46" s="51">
        <f>(B4*B25*B23)+(B4*C25*C23)+(B4*D25*D23)+(B4*E24*E22)+(B4*F24*F22)+(B4*G24*G22)+(B4*H24*H22)+(B4*I24*I22)+(B4*J24*J22)+(B4*K24*K22)+(B4*L24*L22)+(B4*M24*M22)+(B4*N24*N22)</f>
        <v>0</v>
      </c>
      <c r="E46" s="52">
        <f>C47-D47</f>
        <v>112</v>
      </c>
      <c r="F46" s="53" t="s">
        <v>82</v>
      </c>
      <c r="G46" s="54">
        <f t="shared" si="1"/>
        <v>211.46405228758169</v>
      </c>
      <c r="H46" s="55">
        <f t="shared" ref="H46:H60" si="4">F$4/SUM(J$45:J$60)</f>
        <v>1.8880718954248366</v>
      </c>
      <c r="I46" s="56">
        <f t="shared" si="2"/>
        <v>211.46405228758169</v>
      </c>
      <c r="J46" s="31">
        <f t="shared" si="3"/>
        <v>112</v>
      </c>
      <c r="K46" s="31"/>
      <c r="L46" s="31"/>
      <c r="M46" s="31"/>
      <c r="N46" s="31"/>
      <c r="O46" s="31"/>
      <c r="P46" s="31"/>
      <c r="Q46" s="31"/>
    </row>
    <row r="47" spans="1:17" ht="15.75" customHeight="1" x14ac:dyDescent="0.25">
      <c r="A47" s="50">
        <v>1</v>
      </c>
      <c r="B47" s="51">
        <f>$B5</f>
        <v>56</v>
      </c>
      <c r="C47" s="51">
        <f>B47*2</f>
        <v>112</v>
      </c>
      <c r="D47" s="51">
        <f>(B5*B26*B23)+(B5*C26*C23)+(B5*D26*D23)+(B5*E25*E22)+(B5*F22*F25)+(B5*G25*G22)+(B5*H25*H22)+(B5*I25*I22)+(B5*J25*J22)+(B5*K25*K22)+(B5*L25*L22)+(B5*M25*M22)+(N25*N22*B5)</f>
        <v>0</v>
      </c>
      <c r="E47" s="52">
        <f>C48-D48</f>
        <v>128</v>
      </c>
      <c r="F47" s="53" t="s">
        <v>74</v>
      </c>
      <c r="G47" s="54">
        <f t="shared" si="1"/>
        <v>241.67320261437908</v>
      </c>
      <c r="H47" s="55">
        <f t="shared" si="4"/>
        <v>1.8880718954248366</v>
      </c>
      <c r="I47" s="56">
        <f t="shared" si="2"/>
        <v>241.67320261437908</v>
      </c>
      <c r="J47" s="31">
        <f t="shared" si="3"/>
        <v>128</v>
      </c>
      <c r="K47" s="31"/>
      <c r="L47" s="31"/>
      <c r="M47" s="31"/>
      <c r="N47" s="31"/>
      <c r="O47" s="31"/>
      <c r="P47" s="31"/>
      <c r="Q47" s="31"/>
    </row>
    <row r="48" spans="1:17" ht="15.75" customHeight="1" x14ac:dyDescent="0.25">
      <c r="A48" s="50">
        <v>2</v>
      </c>
      <c r="B48" s="51">
        <f>$B6</f>
        <v>64</v>
      </c>
      <c r="C48" s="51">
        <f>B48*2</f>
        <v>128</v>
      </c>
      <c r="D48" s="51">
        <f>(B6*B27*B23)+(B6*C27*C23)+(B6*D27*D23)+(B6*E26*E22)+(B6*F26*F22)+(B6*G26*G22)+(B6*H26*H22)+(B6*I26*I22)+(B6*J26*J22)+(B6*K26*K22)+(B6*L26*L22)+(B6*M26*M22)+(B6*N26*N22)</f>
        <v>0</v>
      </c>
      <c r="E48" s="52">
        <f>C49-D49</f>
        <v>128</v>
      </c>
      <c r="F48" s="53" t="s">
        <v>78</v>
      </c>
      <c r="G48" s="54">
        <f t="shared" si="1"/>
        <v>241.67320261437908</v>
      </c>
      <c r="H48" s="55">
        <f t="shared" si="4"/>
        <v>1.8880718954248366</v>
      </c>
      <c r="I48" s="56">
        <f t="shared" si="2"/>
        <v>241.67320261437908</v>
      </c>
      <c r="J48" s="31">
        <f t="shared" si="3"/>
        <v>128</v>
      </c>
      <c r="K48" s="31"/>
      <c r="L48" s="31"/>
      <c r="M48" s="31"/>
      <c r="N48" s="31"/>
      <c r="O48" s="31"/>
      <c r="P48" s="31"/>
      <c r="Q48" s="31"/>
    </row>
    <row r="49" spans="1:17" ht="15.75" customHeight="1" x14ac:dyDescent="0.25">
      <c r="A49" s="50">
        <v>3</v>
      </c>
      <c r="B49" s="51">
        <f>$B7</f>
        <v>64</v>
      </c>
      <c r="C49" s="51">
        <f>B49*2</f>
        <v>128</v>
      </c>
      <c r="D49" s="51">
        <f>(B7*B28*B23)+(B7*C28*C23)+(B7*D28*D23)+(B7*E27*E22)+(B7*F27*F22)+(B7*G27*G22)+(B7*H27*H22)+(B7*I27*I22)+(B7*J27*J22)+(B7*K27*K22)+(B7*L27*L22)+(B7*M27*M22)+(B7*N27*N22)</f>
        <v>0</v>
      </c>
      <c r="E49" s="52">
        <f>C50-D50</f>
        <v>64</v>
      </c>
      <c r="F49" s="53" t="s">
        <v>75</v>
      </c>
      <c r="G49" s="54">
        <f t="shared" si="1"/>
        <v>120.83660130718954</v>
      </c>
      <c r="H49" s="55">
        <f t="shared" si="4"/>
        <v>1.8880718954248366</v>
      </c>
      <c r="I49" s="56">
        <f t="shared" si="2"/>
        <v>120.83660130718954</v>
      </c>
      <c r="J49" s="31">
        <f t="shared" si="3"/>
        <v>64</v>
      </c>
      <c r="K49" s="31"/>
      <c r="L49" s="31"/>
      <c r="M49" s="31"/>
      <c r="N49" s="31"/>
      <c r="O49" s="31"/>
      <c r="P49" s="31"/>
      <c r="Q49" s="31"/>
    </row>
    <row r="50" spans="1:17" ht="15.75" customHeight="1" x14ac:dyDescent="0.25">
      <c r="A50" s="50">
        <v>4</v>
      </c>
      <c r="B50" s="51">
        <f>$B8</f>
        <v>32</v>
      </c>
      <c r="C50" s="51">
        <f>B50*2</f>
        <v>64</v>
      </c>
      <c r="D50" s="51">
        <f>(B8*B29*B23)+(B8*C29*C23)+(B8*D29*D23)+(B8*E28*E22)+(B8*F28*F22)+(B8*G28*G22)+(B8*H28*H22)+(B8*I28*I22)+(B8*J28*J22)+(B8*K28*K22)+(B8*L28*L22)+(B8*M28*M22)+(N28*N22*B8)</f>
        <v>0</v>
      </c>
      <c r="E50" s="52">
        <f>C51-D51</f>
        <v>80</v>
      </c>
      <c r="F50" s="53" t="s">
        <v>79</v>
      </c>
      <c r="G50" s="54">
        <f t="shared" si="1"/>
        <v>151.04575163398692</v>
      </c>
      <c r="H50" s="55">
        <f t="shared" si="4"/>
        <v>1.8880718954248366</v>
      </c>
      <c r="I50" s="56">
        <f t="shared" si="2"/>
        <v>151.04575163398692</v>
      </c>
      <c r="J50" s="31">
        <f t="shared" si="3"/>
        <v>80</v>
      </c>
      <c r="K50" s="31"/>
      <c r="L50" s="31"/>
      <c r="M50" s="31"/>
      <c r="N50" s="31"/>
      <c r="O50" s="31"/>
      <c r="P50" s="31"/>
      <c r="Q50" s="31"/>
    </row>
    <row r="51" spans="1:17" ht="15.75" customHeight="1" x14ac:dyDescent="0.25">
      <c r="A51" s="50">
        <v>5</v>
      </c>
      <c r="B51" s="51">
        <f>$B9</f>
        <v>40</v>
      </c>
      <c r="C51" s="51">
        <f>B51*2</f>
        <v>80</v>
      </c>
      <c r="D51" s="51">
        <f>(B9*B30*B23)+(B9*C30*C23)+(B9*D30*D23)+(B9*E29*E22)+(B9*F29*F22)+(B9*G29*G22)+(B9*H29*H22)+(B9*I29*I22)+(B9*J29*J22)+(B9*K29*K22)+(B9*L29*L22)+(B9*M29*M22)+(B9*N29*N22)</f>
        <v>0</v>
      </c>
      <c r="E51" s="52">
        <f>C52-D52</f>
        <v>64</v>
      </c>
      <c r="F51" s="53" t="s">
        <v>86</v>
      </c>
      <c r="G51" s="54">
        <f t="shared" si="1"/>
        <v>120.83660130718954</v>
      </c>
      <c r="H51" s="55">
        <f t="shared" si="4"/>
        <v>1.8880718954248366</v>
      </c>
      <c r="I51" s="56">
        <f t="shared" si="2"/>
        <v>120.83660130718954</v>
      </c>
      <c r="J51" s="31">
        <f t="shared" si="3"/>
        <v>64</v>
      </c>
      <c r="K51" s="31"/>
      <c r="L51" s="31"/>
      <c r="M51" s="31"/>
      <c r="N51" s="31"/>
      <c r="O51" s="31"/>
      <c r="P51" s="31"/>
      <c r="Q51" s="31"/>
    </row>
    <row r="52" spans="1:17" ht="15.75" customHeight="1" x14ac:dyDescent="0.25">
      <c r="A52" s="50">
        <v>6</v>
      </c>
      <c r="B52" s="51">
        <f>$B10</f>
        <v>32</v>
      </c>
      <c r="C52" s="51">
        <f>B52*2</f>
        <v>64</v>
      </c>
      <c r="D52" s="51">
        <f>(B10*B31*B23)+(B10*C31*C23)+(B10*D31*D23)+(B10*E30*E22)+(B10*F30*F22)+(B10*G30*G22)+(B10*H30*H22)+(B10*I30*I22)+(B10*J30*J22)+(B10*K30*K22)+(B10*L30*L22)+(B10*M30*M22)+(B10*N30*N22)</f>
        <v>0</v>
      </c>
      <c r="E52" s="52">
        <f>C53-D53</f>
        <v>0</v>
      </c>
      <c r="F52" s="53" t="s">
        <v>7</v>
      </c>
      <c r="G52" s="54">
        <f t="shared" si="1"/>
        <v>0</v>
      </c>
      <c r="H52" s="55">
        <f t="shared" si="4"/>
        <v>1.8880718954248366</v>
      </c>
      <c r="I52" s="56">
        <f t="shared" si="2"/>
        <v>0</v>
      </c>
      <c r="J52" s="31">
        <f t="shared" si="3"/>
        <v>0</v>
      </c>
      <c r="K52" s="31"/>
      <c r="L52" s="31"/>
      <c r="M52" s="31"/>
      <c r="N52" s="31"/>
      <c r="O52" s="31"/>
      <c r="P52" s="31"/>
      <c r="Q52" s="31"/>
    </row>
    <row r="53" spans="1:17" ht="15.75" customHeight="1" x14ac:dyDescent="0.25">
      <c r="A53" s="50">
        <v>7</v>
      </c>
      <c r="B53" s="51">
        <f>$B11</f>
        <v>32</v>
      </c>
      <c r="C53" s="51">
        <f>B53*2</f>
        <v>64</v>
      </c>
      <c r="D53" s="51">
        <f>(B11*B32*B23)+(B11*C32*C23)+(B11*D32*D23)+(B11*E31*E22)+(B11*F22*F31)+(B11*G31*G22)+(B11*H31*H22)+(B11*I31*I22)+(B11*J31*J22)+(B11*K31*K22)+(B11*L31*L22)+(B11*M31*M22)+(N31*N22*B11)</f>
        <v>64</v>
      </c>
      <c r="E53" s="52">
        <f>C54-D54</f>
        <v>64</v>
      </c>
      <c r="F53" s="53" t="s">
        <v>80</v>
      </c>
      <c r="G53" s="54">
        <f t="shared" si="1"/>
        <v>120.83660130718954</v>
      </c>
      <c r="H53" s="55">
        <f t="shared" si="4"/>
        <v>1.8880718954248366</v>
      </c>
      <c r="I53" s="56">
        <f t="shared" si="2"/>
        <v>120.83660130718954</v>
      </c>
      <c r="J53" s="31">
        <f t="shared" si="3"/>
        <v>64</v>
      </c>
      <c r="K53" s="31"/>
      <c r="L53" s="31"/>
      <c r="M53" s="31"/>
      <c r="N53" s="31"/>
      <c r="O53" s="31"/>
      <c r="P53" s="31"/>
      <c r="Q53" s="31"/>
    </row>
    <row r="54" spans="1:17" ht="15.75" customHeight="1" x14ac:dyDescent="0.25">
      <c r="A54" s="50">
        <v>8</v>
      </c>
      <c r="B54" s="51">
        <f>$B12</f>
        <v>32</v>
      </c>
      <c r="C54" s="51">
        <f>B54*2</f>
        <v>64</v>
      </c>
      <c r="D54" s="51">
        <f>(B12*B33*B23)+(B12*C33*C23)+(B12*D33*D23)+(B12*E32*E22)+(B12*F32*F22)+(B12*G32*G22)+(B12*H32*H22)+(B12*I32*I22)+(B12*J32*J22)+(B12*K32*K22)+(B12*L32*L22)+(B12*M32*M22)+(B12*N32*N22)</f>
        <v>0</v>
      </c>
      <c r="E54" s="52">
        <f>C55-D55</f>
        <v>64</v>
      </c>
      <c r="F54" s="53" t="s">
        <v>76</v>
      </c>
      <c r="G54" s="54">
        <f t="shared" si="1"/>
        <v>120.83660130718954</v>
      </c>
      <c r="H54" s="55">
        <f t="shared" si="4"/>
        <v>1.8880718954248366</v>
      </c>
      <c r="I54" s="56">
        <f t="shared" si="2"/>
        <v>120.83660130718954</v>
      </c>
      <c r="J54" s="31">
        <f t="shared" si="3"/>
        <v>64</v>
      </c>
      <c r="K54" s="31"/>
      <c r="L54" s="31"/>
      <c r="M54" s="31"/>
      <c r="N54" s="31"/>
      <c r="O54" s="31"/>
      <c r="P54" s="31"/>
      <c r="Q54" s="31"/>
    </row>
    <row r="55" spans="1:17" ht="15.75" customHeight="1" x14ac:dyDescent="0.25">
      <c r="A55" s="50">
        <v>9</v>
      </c>
      <c r="B55" s="51">
        <f>$B13</f>
        <v>32</v>
      </c>
      <c r="C55" s="51">
        <f>B55*2</f>
        <v>64</v>
      </c>
      <c r="D55" s="51">
        <f>(B13*B34*B23)+(B13*C34*C23)+(B13*D34*D23)+(B13*E33*E22)+(B13*F33*F22)+(B13*G33*G22)+(B13*H33*H22)+(B13*I33*I22)+(B13*J33*J22)+(B13*K33*K22)+(B13*L33*L22)+(B13*M33*M22)+(B13*N33*N22)</f>
        <v>0</v>
      </c>
      <c r="E55" s="52">
        <f>C56-D56</f>
        <v>80</v>
      </c>
      <c r="F55" s="53" t="s">
        <v>81</v>
      </c>
      <c r="G55" s="54">
        <f t="shared" si="1"/>
        <v>151.04575163398692</v>
      </c>
      <c r="H55" s="55">
        <f t="shared" si="4"/>
        <v>1.8880718954248366</v>
      </c>
      <c r="I55" s="56">
        <f t="shared" si="2"/>
        <v>151.04575163398692</v>
      </c>
      <c r="J55" s="31">
        <f t="shared" si="3"/>
        <v>80</v>
      </c>
      <c r="K55" s="31"/>
      <c r="L55" s="31"/>
      <c r="M55" s="31"/>
      <c r="N55" s="31"/>
      <c r="O55" s="31"/>
      <c r="P55" s="31"/>
      <c r="Q55" s="31"/>
    </row>
    <row r="56" spans="1:17" ht="15.75" customHeight="1" x14ac:dyDescent="0.25">
      <c r="A56" s="50">
        <v>10</v>
      </c>
      <c r="B56" s="51">
        <f>$B14</f>
        <v>40</v>
      </c>
      <c r="C56" s="51">
        <f>B56*2</f>
        <v>80</v>
      </c>
      <c r="D56" s="51">
        <f>(B14*B35*B23)+(B14*C35*C23)+(B14*D35*D23)+(B14*E34*E22)+(B14*F34*F22)+(B14*G34*G22)+(B14*H34*H22)+(B14*I34*I22)+(B14*J34*J22)+(B14*K34*K22)+(B14*L34*L22)+(B14*M34*M22)+(N34*N22*B14)</f>
        <v>0</v>
      </c>
      <c r="E56" s="52">
        <f>C57-D57</f>
        <v>64</v>
      </c>
      <c r="F56" s="53" t="s">
        <v>83</v>
      </c>
      <c r="G56" s="54">
        <f t="shared" si="1"/>
        <v>120.83660130718954</v>
      </c>
      <c r="H56" s="55">
        <f t="shared" si="4"/>
        <v>1.8880718954248366</v>
      </c>
      <c r="I56" s="56">
        <f t="shared" si="2"/>
        <v>120.83660130718954</v>
      </c>
      <c r="J56" s="31">
        <f t="shared" si="3"/>
        <v>64</v>
      </c>
      <c r="K56" s="31"/>
      <c r="L56" s="31"/>
      <c r="M56" s="31"/>
      <c r="N56" s="31"/>
      <c r="O56" s="31"/>
      <c r="P56" s="31"/>
      <c r="Q56" s="31"/>
    </row>
    <row r="57" spans="1:17" ht="15.75" customHeight="1" x14ac:dyDescent="0.25">
      <c r="A57" s="50">
        <v>11</v>
      </c>
      <c r="B57" s="51">
        <f>$B15</f>
        <v>32</v>
      </c>
      <c r="C57" s="51">
        <f>B57*2</f>
        <v>64</v>
      </c>
      <c r="D57" s="51">
        <f>(B15*B36*B23)+(B15*C36*C23)+(B15*D36*D23)+(B15*E35*E22)+(B15*F35*F22)+(B15*G35*G22)+(B15*H35*H22)+(B15*I35*I22)+(B15*J35*J22)+(B15*K35*K22)+(B15*L35*L22)+(B15*M35*M22)+(B15*N35*N22)</f>
        <v>0</v>
      </c>
      <c r="E57" s="52">
        <f>C58-D58</f>
        <v>64</v>
      </c>
      <c r="F57" s="53" t="s">
        <v>84</v>
      </c>
      <c r="G57" s="54">
        <f t="shared" si="1"/>
        <v>120.83660130718954</v>
      </c>
      <c r="H57" s="55">
        <f t="shared" si="4"/>
        <v>1.8880718954248366</v>
      </c>
      <c r="I57" s="56">
        <f t="shared" si="2"/>
        <v>120.83660130718954</v>
      </c>
      <c r="J57" s="31">
        <f t="shared" si="3"/>
        <v>64</v>
      </c>
      <c r="K57" s="31"/>
      <c r="L57" s="31"/>
      <c r="M57" s="31"/>
      <c r="N57" s="31"/>
      <c r="O57" s="31"/>
      <c r="P57" s="31"/>
      <c r="Q57" s="31"/>
    </row>
    <row r="58" spans="1:17" ht="15.75" customHeight="1" x14ac:dyDescent="0.25">
      <c r="A58" s="50">
        <v>12</v>
      </c>
      <c r="B58" s="51">
        <f>$B16</f>
        <v>32</v>
      </c>
      <c r="C58" s="51">
        <f>B58*2</f>
        <v>64</v>
      </c>
      <c r="D58" s="51">
        <f>(B16*B37*B23)+(B16*C37*C23)+(B16*D37*D23)+(B16*E36*E22)+(B16*F36*F22)+(B16*G36*G22)+(B16*H36*H22)+(B16*I36*I22)+(B16*J36*J22)+(B16*K36*K22)+(B16*L36*L22)+(B16*M36*M22)+(B16*N36*N22)</f>
        <v>0</v>
      </c>
      <c r="E58" s="52">
        <f>C59-D59</f>
        <v>64</v>
      </c>
      <c r="F58" s="53" t="s">
        <v>91</v>
      </c>
      <c r="G58" s="54">
        <f t="shared" si="1"/>
        <v>120.83660130718954</v>
      </c>
      <c r="H58" s="55">
        <f t="shared" si="4"/>
        <v>1.8880718954248366</v>
      </c>
      <c r="I58" s="56">
        <f t="shared" si="2"/>
        <v>120.83660130718954</v>
      </c>
      <c r="J58" s="31">
        <f t="shared" si="3"/>
        <v>64</v>
      </c>
      <c r="K58" s="31"/>
      <c r="L58" s="31"/>
      <c r="M58" s="31"/>
      <c r="N58" s="31"/>
      <c r="O58" s="31"/>
      <c r="P58" s="31"/>
      <c r="Q58" s="31"/>
    </row>
    <row r="59" spans="1:17" ht="15.75" customHeight="1" x14ac:dyDescent="0.25">
      <c r="A59" s="50">
        <v>13</v>
      </c>
      <c r="B59" s="51">
        <v>32</v>
      </c>
      <c r="C59" s="51">
        <f>B59*2</f>
        <v>64</v>
      </c>
      <c r="D59" s="51">
        <f>(B17*B39*B23)+(B17*C39*C23)+(B17*D39*D23)+(B17*E37*E22)+(B17*F22*F37)+(B17*G37*G22)+(B17*H37*H22)+(B17*I37*I22)+(B17*J37*J22)+(B17*K37*K22)+(B17*L37*L22)+(B17*M37*M22)+(N37*N22*B17)</f>
        <v>0</v>
      </c>
      <c r="E59" s="52">
        <f>C60-D60</f>
        <v>72</v>
      </c>
      <c r="F59" s="53" t="s">
        <v>94</v>
      </c>
      <c r="G59" s="54">
        <f t="shared" si="1"/>
        <v>135.94117647058823</v>
      </c>
      <c r="H59" s="55">
        <f t="shared" si="4"/>
        <v>1.8880718954248366</v>
      </c>
      <c r="I59" s="56">
        <f t="shared" si="2"/>
        <v>135.94117647058823</v>
      </c>
      <c r="J59" s="31">
        <f>IF(E59&lt;0,0,E59)</f>
        <v>72</v>
      </c>
      <c r="K59" s="31"/>
      <c r="L59" s="31"/>
      <c r="M59" s="31"/>
      <c r="N59" s="31"/>
      <c r="O59" s="31"/>
      <c r="P59" s="31"/>
      <c r="Q59" s="31"/>
    </row>
    <row r="60" spans="1:17" ht="15.75" customHeight="1" x14ac:dyDescent="0.25">
      <c r="A60" s="50">
        <v>14</v>
      </c>
      <c r="B60" s="51">
        <f>$B18</f>
        <v>36</v>
      </c>
      <c r="C60" s="51">
        <f>B60*2</f>
        <v>72</v>
      </c>
      <c r="D60" s="51">
        <f>(B18*B41*B23)+(B18*C41*C23)+(B18*D41*D23)+(B18*E39*E22)+(B18*F39*F22)+(B18*G39*G22)+(B18*H39*H22)+(B18*I39*I22)+(B18*J39*J22)+(B18*K39*K22)+(B18*L39*L22)+(B18*M39*M22)+(B18*N39*N22)</f>
        <v>0</v>
      </c>
      <c r="E60" s="51">
        <f>C61-D61</f>
        <v>64</v>
      </c>
      <c r="F60" s="50" t="s">
        <v>89</v>
      </c>
      <c r="G60" s="57">
        <f>H60*E60</f>
        <v>120.83660130718954</v>
      </c>
      <c r="H60" s="55">
        <f t="shared" si="4"/>
        <v>1.8880718954248366</v>
      </c>
      <c r="I60" s="56">
        <f t="shared" ref="I60" si="5">IF(G60&lt;0,0,G60)</f>
        <v>120.83660130718954</v>
      </c>
      <c r="J60" s="31">
        <f t="shared" ref="J60" si="6">IF(E60&lt;0,0,E60)</f>
        <v>64</v>
      </c>
      <c r="K60" s="31"/>
      <c r="L60" s="31"/>
      <c r="M60" s="31"/>
      <c r="N60" s="31"/>
      <c r="O60" s="31"/>
      <c r="P60" s="31"/>
      <c r="Q60" s="31"/>
    </row>
    <row r="61" spans="1:17" ht="15.75" customHeight="1" x14ac:dyDescent="0.25">
      <c r="A61" s="50">
        <v>15</v>
      </c>
      <c r="B61" s="51">
        <f t="shared" ref="B61" si="7">$B20</f>
        <v>32</v>
      </c>
      <c r="C61" s="51">
        <f>B61*2</f>
        <v>64</v>
      </c>
      <c r="D61" s="51">
        <f>(B20*B43*B23)+(B20*C43*C23)+(B20*D43*D23)+(B20*E41*E22)+(B20*F41*F22)+(B20*G41*G22)+(B20*H41*H22)+(B20*I41*I22)+(B20*J41*J22)+(B20*K41*K22)+(B20*L41*L22)+(B20*M41*M22)+(B20*N41*N22)</f>
        <v>0</v>
      </c>
      <c r="E61" s="31"/>
      <c r="F61" s="31" t="s">
        <v>88</v>
      </c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1:17" ht="15.75" customHeight="1" x14ac:dyDescent="0.25">
      <c r="A62" s="50">
        <v>16</v>
      </c>
      <c r="B62" s="31"/>
      <c r="C62" s="31"/>
      <c r="D62" s="31"/>
      <c r="E62" s="31"/>
      <c r="F62" s="31" t="s">
        <v>87</v>
      </c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1:17" ht="15.75" customHeight="1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1:17" ht="15.75" customHeight="1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1:17" ht="15.75" customHeight="1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1:17" ht="15.75" customHeight="1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1:17" ht="15.75" customHeight="1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1:17" ht="15.75" customHeight="1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1:17" ht="15.75" customHeight="1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1:17" ht="15.75" customHeight="1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1"/>
    </row>
    <row r="71" spans="1:17" ht="15.75" customHeight="1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1"/>
    </row>
    <row r="72" spans="1:17" ht="15.75" customHeight="1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1"/>
    </row>
    <row r="73" spans="1:17" ht="15.75" customHeight="1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1"/>
    </row>
    <row r="74" spans="1:17" ht="15.75" customHeight="1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1"/>
    </row>
    <row r="75" spans="1:17" ht="15.75" customHeight="1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1"/>
    </row>
    <row r="76" spans="1:17" ht="15.75" customHeight="1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1"/>
    </row>
    <row r="77" spans="1:17" ht="15.75" customHeigh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1"/>
      <c r="O77" s="1"/>
      <c r="P77" s="1"/>
      <c r="Q77" s="1"/>
    </row>
    <row r="78" spans="1:17" ht="15.75" customHeight="1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1"/>
      <c r="O78" s="1"/>
      <c r="P78" s="1"/>
      <c r="Q78" s="1"/>
    </row>
    <row r="79" spans="1:17" ht="15.75" customHeight="1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1"/>
      <c r="O79" s="1"/>
      <c r="P79" s="1"/>
      <c r="Q79" s="1"/>
    </row>
    <row r="80" spans="1:17" ht="15.75" customHeight="1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1"/>
      <c r="O80" s="1"/>
      <c r="P80" s="1"/>
      <c r="Q80" s="1"/>
    </row>
    <row r="81" spans="1:17" ht="15.75" customHeight="1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1"/>
      <c r="O81" s="1"/>
      <c r="P81" s="1"/>
      <c r="Q81" s="1"/>
    </row>
    <row r="82" spans="1:17" ht="15.75" customHeight="1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1"/>
      <c r="O82" s="1"/>
      <c r="P82" s="1"/>
      <c r="Q82" s="1"/>
    </row>
    <row r="83" spans="1:17" ht="15.75" customHeight="1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1"/>
      <c r="O83" s="1"/>
      <c r="P83" s="1"/>
      <c r="Q83" s="1"/>
    </row>
    <row r="84" spans="1:17" ht="15.75" customHeight="1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1"/>
      <c r="O84" s="1"/>
      <c r="P84" s="1"/>
      <c r="Q84" s="1"/>
    </row>
    <row r="85" spans="1:17" ht="15.75" customHeight="1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1"/>
      <c r="O85" s="1"/>
      <c r="P85" s="1"/>
      <c r="Q85" s="1"/>
    </row>
    <row r="86" spans="1:17" ht="15.75" customHeight="1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1"/>
      <c r="O86" s="1"/>
      <c r="P86" s="1"/>
      <c r="Q86" s="1"/>
    </row>
    <row r="87" spans="1:17" ht="15.75" customHeight="1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1"/>
      <c r="O87" s="1"/>
      <c r="P87" s="1"/>
      <c r="Q87" s="1"/>
    </row>
    <row r="88" spans="1:17" ht="15.75" customHeight="1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1"/>
      <c r="O88" s="1"/>
      <c r="P88" s="1"/>
      <c r="Q88" s="1"/>
    </row>
    <row r="89" spans="1:17" ht="15.75" customHeight="1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1"/>
      <c r="O89" s="1"/>
      <c r="P89" s="1"/>
      <c r="Q89" s="1"/>
    </row>
    <row r="90" spans="1:17" ht="15.75" customHeight="1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1"/>
      <c r="O90" s="1"/>
      <c r="P90" s="1"/>
      <c r="Q90" s="1"/>
    </row>
    <row r="91" spans="1:17" ht="15.75" customHeight="1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1"/>
      <c r="O91" s="1"/>
      <c r="P91" s="1"/>
      <c r="Q91" s="1"/>
    </row>
    <row r="92" spans="1:17" ht="15.75" customHeight="1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1"/>
      <c r="O92" s="1"/>
      <c r="P92" s="1"/>
      <c r="Q92" s="1"/>
    </row>
    <row r="93" spans="1:17" ht="15.75" customHeight="1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1"/>
      <c r="O93" s="1"/>
      <c r="P93" s="1"/>
      <c r="Q93" s="1"/>
    </row>
    <row r="94" spans="1:17" ht="15.75" customHeight="1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1"/>
      <c r="O94" s="1"/>
      <c r="P94" s="1"/>
      <c r="Q94" s="1"/>
    </row>
    <row r="95" spans="1:17" ht="15.75" customHeight="1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1"/>
      <c r="O95" s="1"/>
      <c r="P95" s="1"/>
      <c r="Q95" s="1"/>
    </row>
    <row r="96" spans="1:17" ht="15.75" customHeight="1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1"/>
      <c r="O96" s="1"/>
      <c r="P96" s="1"/>
      <c r="Q96" s="1"/>
    </row>
    <row r="97" spans="1:17" ht="15.75" customHeight="1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1"/>
      <c r="O97" s="1"/>
      <c r="P97" s="1"/>
      <c r="Q97" s="1"/>
    </row>
    <row r="98" spans="1:17" ht="15.75" customHeight="1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1"/>
      <c r="O98" s="1"/>
      <c r="P98" s="1"/>
      <c r="Q98" s="1"/>
    </row>
    <row r="99" spans="1:17" ht="15.75" customHeight="1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1"/>
      <c r="O99" s="1"/>
      <c r="P99" s="1"/>
      <c r="Q99" s="1"/>
    </row>
    <row r="100" spans="1:17" ht="15.75" customHeight="1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1"/>
      <c r="O100" s="1"/>
      <c r="P100" s="1"/>
      <c r="Q100" s="1"/>
    </row>
    <row r="101" spans="1:17" ht="15.75" customHeigh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1"/>
      <c r="O101" s="1"/>
      <c r="P101" s="1"/>
      <c r="Q101" s="1"/>
    </row>
    <row r="102" spans="1:17" ht="15.75" customHeight="1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1"/>
      <c r="O102" s="1"/>
      <c r="P102" s="1"/>
      <c r="Q102" s="1"/>
    </row>
    <row r="103" spans="1:17" ht="15.75" customHeight="1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1"/>
      <c r="O103" s="1"/>
      <c r="P103" s="1"/>
      <c r="Q103" s="1"/>
    </row>
    <row r="104" spans="1:17" ht="15.75" customHeight="1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1"/>
      <c r="O104" s="1"/>
      <c r="P104" s="1"/>
      <c r="Q104" s="1"/>
    </row>
    <row r="105" spans="1:17" ht="15.75" customHeight="1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1"/>
      <c r="O105" s="1"/>
      <c r="P105" s="1"/>
      <c r="Q105" s="1"/>
    </row>
    <row r="106" spans="1:17" ht="15.75" customHeight="1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1"/>
      <c r="O106" s="1"/>
      <c r="P106" s="1"/>
      <c r="Q106" s="1"/>
    </row>
    <row r="107" spans="1:17" ht="15.75" customHeight="1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1"/>
      <c r="O107" s="1"/>
      <c r="P107" s="1"/>
      <c r="Q107" s="1"/>
    </row>
    <row r="108" spans="1:17" ht="15.75" customHeight="1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1"/>
      <c r="O108" s="1"/>
      <c r="P108" s="1"/>
      <c r="Q108" s="1"/>
    </row>
    <row r="109" spans="1:17" ht="15.75" customHeight="1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1"/>
      <c r="O109" s="1"/>
      <c r="P109" s="1"/>
      <c r="Q109" s="1"/>
    </row>
    <row r="110" spans="1:17" ht="15.75" customHeight="1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1"/>
      <c r="O110" s="1"/>
      <c r="P110" s="1"/>
      <c r="Q110" s="1"/>
    </row>
    <row r="111" spans="1:17" ht="15.75" customHeight="1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1"/>
      <c r="O111" s="1"/>
      <c r="P111" s="1"/>
      <c r="Q111" s="1"/>
    </row>
    <row r="112" spans="1:17" ht="15.75" customHeight="1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1"/>
      <c r="O112" s="1"/>
      <c r="P112" s="1"/>
      <c r="Q112" s="1"/>
    </row>
    <row r="113" spans="1:17" ht="15.75" customHeight="1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1"/>
      <c r="O113" s="1"/>
      <c r="P113" s="1"/>
      <c r="Q113" s="1"/>
    </row>
    <row r="114" spans="1:17" ht="15.75" customHeight="1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1"/>
      <c r="O114" s="1"/>
      <c r="P114" s="1"/>
      <c r="Q114" s="1"/>
    </row>
    <row r="115" spans="1:17" ht="15.75" customHeight="1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1"/>
      <c r="O115" s="1"/>
      <c r="P115" s="1"/>
      <c r="Q115" s="1"/>
    </row>
    <row r="116" spans="1:17" ht="15.75" customHeight="1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  <row r="150" spans="1:17" ht="15.75" customHeight="1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1"/>
      <c r="L150" s="1"/>
      <c r="M150" s="1"/>
      <c r="N150" s="1"/>
      <c r="O150" s="1"/>
      <c r="P150" s="1"/>
      <c r="Q150" s="1"/>
    </row>
    <row r="151" spans="1:17" ht="15.75" customHeigh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1"/>
      <c r="L151" s="1"/>
      <c r="M151" s="1"/>
      <c r="N151" s="1"/>
      <c r="O151" s="1"/>
      <c r="P151" s="1"/>
      <c r="Q151" s="1"/>
    </row>
    <row r="152" spans="1:17" ht="15.75" customHeigh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1"/>
      <c r="L152" s="1"/>
      <c r="M152" s="1"/>
      <c r="N152" s="1"/>
      <c r="O152" s="1"/>
      <c r="P152" s="1"/>
      <c r="Q152" s="1"/>
    </row>
    <row r="153" spans="1:17" ht="15.75" customHeigh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1"/>
      <c r="L153" s="1"/>
      <c r="M153" s="1"/>
      <c r="N153" s="1"/>
      <c r="O153" s="1"/>
      <c r="P153" s="1"/>
      <c r="Q153" s="1"/>
    </row>
    <row r="154" spans="1:17" ht="15" customHeight="1" x14ac:dyDescent="0.25">
      <c r="A154" s="22"/>
      <c r="B154" s="22"/>
      <c r="C154" s="22"/>
      <c r="D154" s="22"/>
    </row>
    <row r="155" spans="1:17" ht="15" customHeight="1" x14ac:dyDescent="0.25">
      <c r="A155" s="22"/>
    </row>
  </sheetData>
  <mergeCells count="3">
    <mergeCell ref="F6:G6"/>
    <mergeCell ref="F7:G7"/>
    <mergeCell ref="O22:P23"/>
  </mergeCells>
  <pageMargins left="0.70866141732283472" right="0.70866141732283472" top="0.74803149606299213" bottom="0.74803149606299213" header="0" footer="0"/>
  <pageSetup paperSize="9" scale="70" orientation="landscape" r:id="rId1"/>
  <ignoredErrors>
    <ignoredError sqref="J60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9"/>
  <sheetViews>
    <sheetView topLeftCell="A19"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0</v>
      </c>
      <c r="E4" s="1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0</v>
      </c>
      <c r="E7" s="1"/>
      <c r="F7" s="42"/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>
        <f t="shared" si="0"/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0</v>
      </c>
      <c r="H41" s="27">
        <f>F4/SUM(J41:J55)</f>
        <v>0</v>
      </c>
      <c r="I41" s="28">
        <f t="shared" ref="I41:I55" si="8">IF(G41&lt;0,0,G41)</f>
        <v>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0</v>
      </c>
      <c r="H42" s="27">
        <f>F4/SUM(J41:J55)</f>
        <v>0</v>
      </c>
      <c r="I42" s="28">
        <f t="shared" si="8"/>
        <v>0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>
        <f t="shared" si="7"/>
        <v>0</v>
      </c>
      <c r="H43" s="27">
        <f>F4/SUM(J41:J55)</f>
        <v>0</v>
      </c>
      <c r="I43" s="28">
        <f t="shared" si="8"/>
        <v>0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0</v>
      </c>
      <c r="H44" s="27">
        <f>F4/SUM(J41:J55)</f>
        <v>0</v>
      </c>
      <c r="I44" s="28">
        <f t="shared" si="8"/>
        <v>0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0</v>
      </c>
      <c r="H45" s="27">
        <f>F4/SUM(J41:J55)</f>
        <v>0</v>
      </c>
      <c r="I45" s="28">
        <f t="shared" si="8"/>
        <v>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>
        <f t="shared" si="7"/>
        <v>0</v>
      </c>
      <c r="H46" s="27">
        <f>F4/SUM(J41:J55)</f>
        <v>0</v>
      </c>
      <c r="I46" s="28">
        <f t="shared" si="8"/>
        <v>0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0</v>
      </c>
      <c r="H47" s="27">
        <f>F4/SUM(J41:J55)</f>
        <v>0</v>
      </c>
      <c r="I47" s="28">
        <f t="shared" si="8"/>
        <v>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0</v>
      </c>
      <c r="H48" s="27">
        <f>F4/SUM(J41:J55)</f>
        <v>0</v>
      </c>
      <c r="I48" s="28">
        <f t="shared" si="8"/>
        <v>0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0</v>
      </c>
      <c r="H49" s="27">
        <f>F4/SUM(J41:J55)</f>
        <v>0</v>
      </c>
      <c r="I49" s="28">
        <f t="shared" si="8"/>
        <v>0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0</v>
      </c>
      <c r="H50" s="27">
        <f>F4/SUM(J41:J55)</f>
        <v>0</v>
      </c>
      <c r="I50" s="28">
        <f t="shared" si="8"/>
        <v>0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0</v>
      </c>
      <c r="H51" s="27">
        <f>F4/SUM(J41:J55)</f>
        <v>0</v>
      </c>
      <c r="I51" s="28">
        <f t="shared" si="8"/>
        <v>0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0</v>
      </c>
      <c r="H52" s="27">
        <f>F4/SUM(J41:J55)</f>
        <v>0</v>
      </c>
      <c r="I52" s="28">
        <f t="shared" si="8"/>
        <v>0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9"/>
  <sheetViews>
    <sheetView topLeftCell="A16" workbookViewId="0">
      <selection activeCell="D24" sqref="D24"/>
    </sheetView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52</v>
      </c>
      <c r="E4" s="1"/>
      <c r="F4" s="7">
        <v>580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78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6</v>
      </c>
      <c r="C7" s="5" t="s">
        <v>37</v>
      </c>
      <c r="D7" s="6">
        <f t="shared" si="0"/>
        <v>49</v>
      </c>
      <c r="E7" s="1"/>
      <c r="F7" s="42" t="s">
        <v>38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78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39</v>
      </c>
      <c r="D9" s="6">
        <f t="shared" si="0"/>
        <v>49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78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32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78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40</v>
      </c>
      <c r="D13" s="6">
        <f t="shared" si="0"/>
        <v>49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41</v>
      </c>
      <c r="D14" s="6">
        <f t="shared" si="0"/>
        <v>39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/>
      <c r="C15" s="5"/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582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>
        <v>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16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>
        <v>7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42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PORFIRIO</v>
      </c>
      <c r="B26" s="11">
        <v>1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6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ERVING</v>
      </c>
      <c r="B28" s="11">
        <v>1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6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>
        <v>1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4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 xml:space="preserve">PAULINA </v>
      </c>
      <c r="B32" s="19">
        <v>1</v>
      </c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6</v>
      </c>
      <c r="P32" s="17" t="s">
        <v>30</v>
      </c>
      <c r="Q32" s="1"/>
    </row>
    <row r="33" spans="1:17" ht="15.75" customHeight="1" x14ac:dyDescent="0.25">
      <c r="A33" s="15" t="str">
        <f t="shared" si="1"/>
        <v xml:space="preserve">FRANCISCO </v>
      </c>
      <c r="B33" s="18">
        <v>1</v>
      </c>
      <c r="C33" s="18"/>
      <c r="D33" s="18">
        <v>1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12</v>
      </c>
      <c r="P33" s="17" t="s">
        <v>30</v>
      </c>
      <c r="Q33" s="1"/>
    </row>
    <row r="34" spans="1:17" ht="15.75" customHeight="1" x14ac:dyDescent="0.25">
      <c r="A34" s="15">
        <f t="shared" si="1"/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16</v>
      </c>
      <c r="E41" s="25">
        <f t="shared" ref="E41:E55" si="5">C41-D41</f>
        <v>32</v>
      </c>
      <c r="F41" s="23" t="str">
        <f t="shared" ref="F41:F55" si="6">C4</f>
        <v>IVETH</v>
      </c>
      <c r="G41" s="26">
        <f t="shared" ref="G41:G55" si="7">H41*E41</f>
        <v>51.843575418994412</v>
      </c>
      <c r="H41" s="27">
        <f>F4/SUM(J41:J55)</f>
        <v>1.6201117318435754</v>
      </c>
      <c r="I41" s="28">
        <f t="shared" ref="I41:I55" si="8">IF(G41&lt;0,0,G41)</f>
        <v>51.843575418994412</v>
      </c>
      <c r="J41" s="24">
        <f t="shared" ref="J41:J55" si="9">IF(E41&lt;0,0,E41)</f>
        <v>32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42</v>
      </c>
      <c r="E42" s="25">
        <f t="shared" si="5"/>
        <v>-6</v>
      </c>
      <c r="F42" s="23" t="str">
        <f t="shared" si="6"/>
        <v>EDMUNDO</v>
      </c>
      <c r="G42" s="26">
        <f t="shared" si="7"/>
        <v>-9.7206703910614518</v>
      </c>
      <c r="H42" s="27">
        <f>F4/SUM(J41:J55)</f>
        <v>1.6201117318435754</v>
      </c>
      <c r="I42" s="28">
        <f t="shared" si="8"/>
        <v>0</v>
      </c>
      <c r="J42" s="24">
        <f t="shared" si="9"/>
        <v>0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77.765363128491614</v>
      </c>
      <c r="H43" s="27">
        <f>F4/SUM(J41:J55)</f>
        <v>1.6201117318435754</v>
      </c>
      <c r="I43" s="28">
        <f t="shared" si="8"/>
        <v>77.765363128491614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6</v>
      </c>
      <c r="C44" s="25">
        <f t="shared" si="4"/>
        <v>36</v>
      </c>
      <c r="D44" s="25">
        <f>(B7*B26*B21)+(B7*C26*C21)+(B7*D26*D21)+(B7*E26*E21)+(B7*F26*F21)+(B7*G26*G21)+(B7*H26*H21)+(B7*I26*I21)+(B7*J26*J21)+(B7*K26*K21)+(B7*L26*L21)+(B7*M26*M21)+(B7*N26*N21)</f>
        <v>6</v>
      </c>
      <c r="E44" s="25">
        <f t="shared" si="5"/>
        <v>30</v>
      </c>
      <c r="F44" s="23" t="str">
        <f t="shared" si="6"/>
        <v>PORFIRIO</v>
      </c>
      <c r="G44" s="26">
        <f t="shared" si="7"/>
        <v>48.603351955307261</v>
      </c>
      <c r="H44" s="27">
        <f>F4/SUM(J41:J55)</f>
        <v>1.6201117318435754</v>
      </c>
      <c r="I44" s="28">
        <f t="shared" si="8"/>
        <v>48.603351955307261</v>
      </c>
      <c r="J44" s="24">
        <f t="shared" si="9"/>
        <v>30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77.765363128491614</v>
      </c>
      <c r="H45" s="27">
        <f>F4/SUM(J41:J55)</f>
        <v>1.6201117318435754</v>
      </c>
      <c r="I45" s="28">
        <f t="shared" si="8"/>
        <v>77.765363128491614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6</v>
      </c>
      <c r="E46" s="25">
        <f t="shared" si="5"/>
        <v>30</v>
      </c>
      <c r="F46" s="23" t="str">
        <f t="shared" si="6"/>
        <v>ERVING</v>
      </c>
      <c r="G46" s="26">
        <f t="shared" si="7"/>
        <v>48.603351955307261</v>
      </c>
      <c r="H46" s="27">
        <f>F4/SUM(J41:J55)</f>
        <v>1.6201117318435754</v>
      </c>
      <c r="I46" s="28">
        <f t="shared" si="8"/>
        <v>48.603351955307261</v>
      </c>
      <c r="J46" s="24">
        <f t="shared" si="9"/>
        <v>30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77.765363128491614</v>
      </c>
      <c r="H47" s="27">
        <f>F4/SUM(J41:J55)</f>
        <v>1.6201117318435754</v>
      </c>
      <c r="I47" s="28">
        <f t="shared" si="8"/>
        <v>77.765363128491614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4</v>
      </c>
      <c r="E48" s="25">
        <f t="shared" si="5"/>
        <v>20</v>
      </c>
      <c r="F48" s="23" t="str">
        <f t="shared" si="6"/>
        <v>RICARDO</v>
      </c>
      <c r="G48" s="26">
        <f t="shared" si="7"/>
        <v>32.402234636871505</v>
      </c>
      <c r="H48" s="27">
        <f>F4/SUM(J41:J55)</f>
        <v>1.6201117318435754</v>
      </c>
      <c r="I48" s="28">
        <f t="shared" si="8"/>
        <v>32.402234636871505</v>
      </c>
      <c r="J48" s="24">
        <f t="shared" si="9"/>
        <v>20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77.765363128491614</v>
      </c>
      <c r="H49" s="27">
        <f>F4/SUM(J41:J55)</f>
        <v>1.6201117318435754</v>
      </c>
      <c r="I49" s="28">
        <f t="shared" si="8"/>
        <v>77.765363128491614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6</v>
      </c>
      <c r="E50" s="25">
        <f t="shared" si="5"/>
        <v>30</v>
      </c>
      <c r="F50" s="23" t="str">
        <f t="shared" si="6"/>
        <v xml:space="preserve">PAULINA </v>
      </c>
      <c r="G50" s="26">
        <f t="shared" si="7"/>
        <v>48.603351955307261</v>
      </c>
      <c r="H50" s="27">
        <f>F4/SUM(J41:J55)</f>
        <v>1.6201117318435754</v>
      </c>
      <c r="I50" s="28">
        <f t="shared" si="8"/>
        <v>48.603351955307261</v>
      </c>
      <c r="J50" s="24">
        <f t="shared" si="9"/>
        <v>30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12</v>
      </c>
      <c r="E51" s="25">
        <f t="shared" si="5"/>
        <v>24</v>
      </c>
      <c r="F51" s="23" t="str">
        <f t="shared" si="6"/>
        <v xml:space="preserve">FRANCISCO </v>
      </c>
      <c r="G51" s="26">
        <f t="shared" si="7"/>
        <v>38.882681564245807</v>
      </c>
      <c r="H51" s="27">
        <f>F4/SUM(J41:J55)</f>
        <v>1.6201117318435754</v>
      </c>
      <c r="I51" s="28">
        <f t="shared" si="8"/>
        <v>38.882681564245807</v>
      </c>
      <c r="J51" s="24">
        <f t="shared" si="9"/>
        <v>24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0</v>
      </c>
      <c r="C52" s="25">
        <f t="shared" si="4"/>
        <v>0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0</v>
      </c>
      <c r="F52" s="23">
        <f t="shared" si="6"/>
        <v>0</v>
      </c>
      <c r="G52" s="26">
        <f t="shared" si="7"/>
        <v>0</v>
      </c>
      <c r="H52" s="27">
        <f>F4/SUM(J41:J55)</f>
        <v>1.6201117318435754</v>
      </c>
      <c r="I52" s="28">
        <f t="shared" si="8"/>
        <v>0</v>
      </c>
      <c r="J52" s="24">
        <f t="shared" si="9"/>
        <v>0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1.6201117318435754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1.6201117318435754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1.6201117318435754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9"/>
  <sheetViews>
    <sheetView workbookViewId="0">
      <selection activeCell="D25" sqref="D25"/>
    </sheetView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61</v>
      </c>
      <c r="E4" s="1"/>
      <c r="F4" s="7">
        <v>550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18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73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6</v>
      </c>
      <c r="C7" s="5" t="s">
        <v>42</v>
      </c>
      <c r="D7" s="6">
        <f t="shared" si="0"/>
        <v>46</v>
      </c>
      <c r="E7" s="1"/>
      <c r="F7" s="42" t="s">
        <v>38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49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39</v>
      </c>
      <c r="D9" s="6">
        <f t="shared" si="0"/>
        <v>46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73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37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73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40</v>
      </c>
      <c r="D13" s="6">
        <f t="shared" si="0"/>
        <v>46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15</v>
      </c>
      <c r="D14" s="6">
        <f t="shared" si="0"/>
        <v>28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/>
      <c r="C15" s="5"/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550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>
        <v>1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8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>
        <v>1</v>
      </c>
      <c r="C24" s="11"/>
      <c r="D24" s="11"/>
      <c r="E24" s="11"/>
      <c r="F24" s="11"/>
      <c r="G24" s="11"/>
      <c r="H24" s="11"/>
      <c r="I24" s="11"/>
      <c r="J24" s="11">
        <v>1</v>
      </c>
      <c r="K24" s="11"/>
      <c r="L24" s="11"/>
      <c r="M24" s="11"/>
      <c r="N24" s="11"/>
      <c r="O24" s="16">
        <f t="shared" si="2"/>
        <v>24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 xml:space="preserve">PORIFIRIO </v>
      </c>
      <c r="B26" s="11">
        <v>1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6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>
        <v>1</v>
      </c>
      <c r="C27" s="11"/>
      <c r="D27" s="11"/>
      <c r="E27" s="11">
        <v>1</v>
      </c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16</v>
      </c>
      <c r="P27" s="17" t="s">
        <v>30</v>
      </c>
      <c r="Q27" s="1"/>
    </row>
    <row r="28" spans="1:17" ht="15.75" customHeight="1" x14ac:dyDescent="0.25">
      <c r="A28" s="15" t="str">
        <f t="shared" si="1"/>
        <v>ERVING</v>
      </c>
      <c r="B28" s="11">
        <v>1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6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 xml:space="preserve">PAULINA </v>
      </c>
      <c r="B32" s="19">
        <v>1</v>
      </c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6</v>
      </c>
      <c r="P32" s="17" t="s">
        <v>30</v>
      </c>
      <c r="Q32" s="1"/>
    </row>
    <row r="33" spans="1:17" ht="15.75" customHeight="1" x14ac:dyDescent="0.25">
      <c r="A33" s="15" t="str">
        <f t="shared" si="1"/>
        <v>FRANCISCO</v>
      </c>
      <c r="B33" s="18">
        <v>1</v>
      </c>
      <c r="C33" s="18"/>
      <c r="D33" s="18"/>
      <c r="E33" s="18"/>
      <c r="F33" s="18"/>
      <c r="G33" s="18"/>
      <c r="H33" s="18">
        <v>1</v>
      </c>
      <c r="I33" s="18"/>
      <c r="J33" s="18"/>
      <c r="K33" s="18"/>
      <c r="L33" s="18"/>
      <c r="M33" s="18"/>
      <c r="N33" s="18"/>
      <c r="O33" s="16">
        <f t="shared" si="2"/>
        <v>18</v>
      </c>
      <c r="P33" s="17" t="s">
        <v>30</v>
      </c>
      <c r="Q33" s="1"/>
    </row>
    <row r="34" spans="1:17" ht="15.75" customHeight="1" x14ac:dyDescent="0.25">
      <c r="A34" s="15">
        <f t="shared" si="1"/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8</v>
      </c>
      <c r="E41" s="25">
        <f t="shared" ref="E41:E55" si="5">C41-D41</f>
        <v>40</v>
      </c>
      <c r="F41" s="23" t="str">
        <f t="shared" ref="F41:F55" si="6">C4</f>
        <v>IVETH</v>
      </c>
      <c r="G41" s="26">
        <f t="shared" ref="G41:G55" si="7">H41*E41</f>
        <v>61.111111111111107</v>
      </c>
      <c r="H41" s="27">
        <f>F4/SUM(J41:J55)</f>
        <v>1.5277777777777777</v>
      </c>
      <c r="I41" s="28">
        <f t="shared" ref="I41:I55" si="8">IF(G41&lt;0,0,G41)</f>
        <v>61.111111111111107</v>
      </c>
      <c r="J41" s="24">
        <f t="shared" ref="J41:J55" si="9">IF(E41&lt;0,0,E41)</f>
        <v>40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24</v>
      </c>
      <c r="E42" s="25">
        <f t="shared" si="5"/>
        <v>12</v>
      </c>
      <c r="F42" s="23" t="str">
        <f t="shared" si="6"/>
        <v>EDMUNDO</v>
      </c>
      <c r="G42" s="26">
        <f t="shared" si="7"/>
        <v>18.333333333333332</v>
      </c>
      <c r="H42" s="27">
        <f>F4/SUM(J41:J55)</f>
        <v>1.5277777777777777</v>
      </c>
      <c r="I42" s="28">
        <f t="shared" si="8"/>
        <v>18.333333333333332</v>
      </c>
      <c r="J42" s="24">
        <f t="shared" si="9"/>
        <v>12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73.333333333333329</v>
      </c>
      <c r="H43" s="27">
        <f>F4/SUM(J41:J55)</f>
        <v>1.5277777777777777</v>
      </c>
      <c r="I43" s="28">
        <f t="shared" si="8"/>
        <v>73.333333333333329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6</v>
      </c>
      <c r="C44" s="25">
        <f t="shared" si="4"/>
        <v>36</v>
      </c>
      <c r="D44" s="25">
        <f>(B7*B26*B21)+(B7*C26*C21)+(B7*D26*D21)+(B7*E26*E21)+(B7*F26*F21)+(B7*G26*G21)+(B7*H26*H21)+(B7*I26*I21)+(B7*J26*J21)+(B7*K26*K21)+(B7*L26*L21)+(B7*M26*M21)+(B7*N26*N21)</f>
        <v>6</v>
      </c>
      <c r="E44" s="25">
        <f t="shared" si="5"/>
        <v>30</v>
      </c>
      <c r="F44" s="23" t="str">
        <f t="shared" si="6"/>
        <v xml:space="preserve">PORIFIRIO </v>
      </c>
      <c r="G44" s="26">
        <f t="shared" si="7"/>
        <v>45.833333333333329</v>
      </c>
      <c r="H44" s="27">
        <f>F4/SUM(J41:J55)</f>
        <v>1.5277777777777777</v>
      </c>
      <c r="I44" s="28">
        <f t="shared" si="8"/>
        <v>45.833333333333329</v>
      </c>
      <c r="J44" s="24">
        <f t="shared" si="9"/>
        <v>30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16</v>
      </c>
      <c r="E45" s="25">
        <f t="shared" si="5"/>
        <v>32</v>
      </c>
      <c r="F45" s="23" t="str">
        <f t="shared" si="6"/>
        <v>LUIS</v>
      </c>
      <c r="G45" s="26">
        <f t="shared" si="7"/>
        <v>48.888888888888886</v>
      </c>
      <c r="H45" s="27">
        <f>F4/SUM(J41:J55)</f>
        <v>1.5277777777777777</v>
      </c>
      <c r="I45" s="28">
        <f t="shared" si="8"/>
        <v>48.888888888888886</v>
      </c>
      <c r="J45" s="24">
        <f t="shared" si="9"/>
        <v>32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6</v>
      </c>
      <c r="E46" s="25">
        <f t="shared" si="5"/>
        <v>30</v>
      </c>
      <c r="F46" s="23" t="str">
        <f t="shared" si="6"/>
        <v>ERVING</v>
      </c>
      <c r="G46" s="26">
        <f t="shared" si="7"/>
        <v>45.833333333333329</v>
      </c>
      <c r="H46" s="27">
        <f>F4/SUM(J41:J55)</f>
        <v>1.5277777777777777</v>
      </c>
      <c r="I46" s="28">
        <f t="shared" si="8"/>
        <v>45.833333333333329</v>
      </c>
      <c r="J46" s="24">
        <f t="shared" si="9"/>
        <v>30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73.333333333333329</v>
      </c>
      <c r="H47" s="27">
        <f>F4/SUM(J41:J55)</f>
        <v>1.5277777777777777</v>
      </c>
      <c r="I47" s="28">
        <f t="shared" si="8"/>
        <v>73.333333333333329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36.666666666666664</v>
      </c>
      <c r="H48" s="27">
        <f>F4/SUM(J41:J55)</f>
        <v>1.5277777777777777</v>
      </c>
      <c r="I48" s="28">
        <f t="shared" si="8"/>
        <v>36.666666666666664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73.333333333333329</v>
      </c>
      <c r="H49" s="27">
        <f>F4/SUM(J41:J55)</f>
        <v>1.5277777777777777</v>
      </c>
      <c r="I49" s="28">
        <f t="shared" si="8"/>
        <v>73.333333333333329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6</v>
      </c>
      <c r="E50" s="25">
        <f t="shared" si="5"/>
        <v>30</v>
      </c>
      <c r="F50" s="23" t="str">
        <f t="shared" si="6"/>
        <v xml:space="preserve">PAULINA </v>
      </c>
      <c r="G50" s="26">
        <f t="shared" si="7"/>
        <v>45.833333333333329</v>
      </c>
      <c r="H50" s="27">
        <f>F4/SUM(J41:J55)</f>
        <v>1.5277777777777777</v>
      </c>
      <c r="I50" s="28">
        <f t="shared" si="8"/>
        <v>45.833333333333329</v>
      </c>
      <c r="J50" s="24">
        <f t="shared" si="9"/>
        <v>30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18</v>
      </c>
      <c r="E51" s="25">
        <f t="shared" si="5"/>
        <v>18</v>
      </c>
      <c r="F51" s="23" t="str">
        <f t="shared" si="6"/>
        <v>FRANCISCO</v>
      </c>
      <c r="G51" s="26">
        <f t="shared" si="7"/>
        <v>27.5</v>
      </c>
      <c r="H51" s="27">
        <f>F4/SUM(J41:J55)</f>
        <v>1.5277777777777777</v>
      </c>
      <c r="I51" s="28">
        <f t="shared" si="8"/>
        <v>27.5</v>
      </c>
      <c r="J51" s="24">
        <f t="shared" si="9"/>
        <v>18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0</v>
      </c>
      <c r="C52" s="25">
        <f t="shared" si="4"/>
        <v>0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0</v>
      </c>
      <c r="F52" s="23">
        <f t="shared" si="6"/>
        <v>0</v>
      </c>
      <c r="G52" s="26">
        <f t="shared" si="7"/>
        <v>0</v>
      </c>
      <c r="H52" s="27">
        <f>F4/SUM(J41:J55)</f>
        <v>1.5277777777777777</v>
      </c>
      <c r="I52" s="28">
        <f t="shared" si="8"/>
        <v>0</v>
      </c>
      <c r="J52" s="24">
        <f t="shared" si="9"/>
        <v>0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1.5277777777777777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1.5277777777777777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1.5277777777777777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37</v>
      </c>
      <c r="E4" s="1"/>
      <c r="F4" s="7">
        <v>320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28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37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6</v>
      </c>
      <c r="C7" s="5" t="s">
        <v>39</v>
      </c>
      <c r="D7" s="6">
        <f t="shared" si="0"/>
        <v>28</v>
      </c>
      <c r="E7" s="1"/>
      <c r="F7" s="42" t="s">
        <v>38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31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37</v>
      </c>
      <c r="D9" s="6">
        <f t="shared" si="0"/>
        <v>23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37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19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31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43</v>
      </c>
      <c r="D13" s="6">
        <f t="shared" si="0"/>
        <v>23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15</v>
      </c>
      <c r="D14" s="6">
        <f t="shared" si="0"/>
        <v>23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/>
      <c r="C15" s="5"/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317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ERVING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>
        <v>1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8</v>
      </c>
      <c r="P27" s="17" t="s">
        <v>30</v>
      </c>
      <c r="Q27" s="1"/>
    </row>
    <row r="28" spans="1:17" ht="15.75" customHeight="1" x14ac:dyDescent="0.25">
      <c r="A28" s="15" t="str">
        <f t="shared" si="1"/>
        <v>PORFIRIO</v>
      </c>
      <c r="B28" s="11">
        <v>1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6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>
        <v>1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8</v>
      </c>
      <c r="P31" s="17" t="s">
        <v>30</v>
      </c>
      <c r="Q31" s="1"/>
    </row>
    <row r="32" spans="1:17" ht="15.75" customHeight="1" x14ac:dyDescent="0.25">
      <c r="A32" s="15" t="str">
        <f t="shared" si="1"/>
        <v>PAULINA</v>
      </c>
      <c r="B32" s="19">
        <v>1</v>
      </c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6</v>
      </c>
      <c r="P32" s="17" t="s">
        <v>30</v>
      </c>
      <c r="Q32" s="1"/>
    </row>
    <row r="33" spans="1:17" ht="15.75" customHeight="1" x14ac:dyDescent="0.25">
      <c r="A33" s="15" t="str">
        <f t="shared" si="1"/>
        <v>FRANCISCO</v>
      </c>
      <c r="B33" s="18">
        <v>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6</v>
      </c>
      <c r="P33" s="17" t="s">
        <v>30</v>
      </c>
      <c r="Q33" s="1"/>
    </row>
    <row r="34" spans="1:17" ht="15.75" customHeight="1" x14ac:dyDescent="0.25">
      <c r="A34" s="15">
        <f t="shared" si="1"/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37.463414634146346</v>
      </c>
      <c r="H41" s="27">
        <f>F4/SUM(J41:J55)</f>
        <v>0.78048780487804881</v>
      </c>
      <c r="I41" s="28">
        <f t="shared" ref="I41:I55" si="8">IF(G41&lt;0,0,G41)</f>
        <v>37.463414634146346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28.097560975609756</v>
      </c>
      <c r="H42" s="27">
        <f>F4/SUM(J41:J55)</f>
        <v>0.78048780487804881</v>
      </c>
      <c r="I42" s="28">
        <f t="shared" si="8"/>
        <v>28.097560975609756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37.463414634146346</v>
      </c>
      <c r="H43" s="27">
        <f>F4/SUM(J41:J55)</f>
        <v>0.78048780487804881</v>
      </c>
      <c r="I43" s="28">
        <f t="shared" si="8"/>
        <v>37.463414634146346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6</v>
      </c>
      <c r="C44" s="25">
        <f t="shared" si="4"/>
        <v>36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36</v>
      </c>
      <c r="F44" s="23" t="str">
        <f t="shared" si="6"/>
        <v>ERVING</v>
      </c>
      <c r="G44" s="26">
        <f t="shared" si="7"/>
        <v>28.097560975609756</v>
      </c>
      <c r="H44" s="27">
        <f>F4/SUM(J41:J55)</f>
        <v>0.78048780487804881</v>
      </c>
      <c r="I44" s="28">
        <f t="shared" si="8"/>
        <v>28.097560975609756</v>
      </c>
      <c r="J44" s="24">
        <f t="shared" si="9"/>
        <v>36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8</v>
      </c>
      <c r="E45" s="25">
        <f t="shared" si="5"/>
        <v>40</v>
      </c>
      <c r="F45" s="23" t="str">
        <f t="shared" si="6"/>
        <v>LUIS</v>
      </c>
      <c r="G45" s="26">
        <f t="shared" si="7"/>
        <v>31.219512195121951</v>
      </c>
      <c r="H45" s="27">
        <f>F4/SUM(J41:J55)</f>
        <v>0.78048780487804881</v>
      </c>
      <c r="I45" s="28">
        <f t="shared" si="8"/>
        <v>31.219512195121951</v>
      </c>
      <c r="J45" s="24">
        <f t="shared" si="9"/>
        <v>40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6</v>
      </c>
      <c r="E46" s="25">
        <f t="shared" si="5"/>
        <v>30</v>
      </c>
      <c r="F46" s="23" t="str">
        <f t="shared" si="6"/>
        <v>PORFIRIO</v>
      </c>
      <c r="G46" s="26">
        <f t="shared" si="7"/>
        <v>23.414634146341463</v>
      </c>
      <c r="H46" s="27">
        <f>F4/SUM(J41:J55)</f>
        <v>0.78048780487804881</v>
      </c>
      <c r="I46" s="28">
        <f t="shared" si="8"/>
        <v>23.414634146341463</v>
      </c>
      <c r="J46" s="24">
        <f t="shared" si="9"/>
        <v>30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37.463414634146346</v>
      </c>
      <c r="H47" s="27">
        <f>F4/SUM(J41:J55)</f>
        <v>0.78048780487804881</v>
      </c>
      <c r="I47" s="28">
        <f t="shared" si="8"/>
        <v>37.463414634146346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18.731707317073173</v>
      </c>
      <c r="H48" s="27">
        <f>F4/SUM(J41:J55)</f>
        <v>0.78048780487804881</v>
      </c>
      <c r="I48" s="28">
        <f t="shared" si="8"/>
        <v>18.731707317073173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8</v>
      </c>
      <c r="E49" s="25">
        <f t="shared" si="5"/>
        <v>40</v>
      </c>
      <c r="F49" s="23" t="str">
        <f t="shared" si="6"/>
        <v>NAYELI</v>
      </c>
      <c r="G49" s="26">
        <f t="shared" si="7"/>
        <v>31.219512195121951</v>
      </c>
      <c r="H49" s="27">
        <f>F4/SUM(J41:J55)</f>
        <v>0.78048780487804881</v>
      </c>
      <c r="I49" s="28">
        <f t="shared" si="8"/>
        <v>31.219512195121951</v>
      </c>
      <c r="J49" s="24">
        <f t="shared" si="9"/>
        <v>40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6</v>
      </c>
      <c r="E50" s="25">
        <f t="shared" si="5"/>
        <v>30</v>
      </c>
      <c r="F50" s="23" t="str">
        <f t="shared" si="6"/>
        <v>PAULINA</v>
      </c>
      <c r="G50" s="26">
        <f t="shared" si="7"/>
        <v>23.414634146341463</v>
      </c>
      <c r="H50" s="27">
        <f>F4/SUM(J41:J55)</f>
        <v>0.78048780487804881</v>
      </c>
      <c r="I50" s="28">
        <f t="shared" si="8"/>
        <v>23.414634146341463</v>
      </c>
      <c r="J50" s="24">
        <f t="shared" si="9"/>
        <v>30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6</v>
      </c>
      <c r="E51" s="25">
        <f t="shared" si="5"/>
        <v>30</v>
      </c>
      <c r="F51" s="23" t="str">
        <f t="shared" si="6"/>
        <v>FRANCISCO</v>
      </c>
      <c r="G51" s="26">
        <f t="shared" si="7"/>
        <v>23.414634146341463</v>
      </c>
      <c r="H51" s="27">
        <f>F4/SUM(J41:J55)</f>
        <v>0.78048780487804881</v>
      </c>
      <c r="I51" s="28">
        <f t="shared" si="8"/>
        <v>23.414634146341463</v>
      </c>
      <c r="J51" s="24">
        <f t="shared" si="9"/>
        <v>30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0</v>
      </c>
      <c r="C52" s="25">
        <f t="shared" si="4"/>
        <v>0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0</v>
      </c>
      <c r="F52" s="23">
        <f t="shared" si="6"/>
        <v>0</v>
      </c>
      <c r="G52" s="26">
        <f t="shared" si="7"/>
        <v>0</v>
      </c>
      <c r="H52" s="27">
        <f>F4/SUM(J41:J55)</f>
        <v>0.78048780487804881</v>
      </c>
      <c r="I52" s="28">
        <f t="shared" si="8"/>
        <v>0</v>
      </c>
      <c r="J52" s="24">
        <f t="shared" si="9"/>
        <v>0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0.78048780487804881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0.78048780487804881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0.78048780487804881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90</v>
      </c>
      <c r="E4" s="1"/>
      <c r="F4" s="7">
        <v>812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68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90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39</v>
      </c>
      <c r="D7" s="6">
        <f t="shared" si="0"/>
        <v>45</v>
      </c>
      <c r="E7" s="1"/>
      <c r="F7" s="42" t="s">
        <v>38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90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37</v>
      </c>
      <c r="D9" s="6">
        <f t="shared" si="0"/>
        <v>68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90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45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90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41</v>
      </c>
      <c r="D13" s="6">
        <f t="shared" si="0"/>
        <v>68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43</v>
      </c>
      <c r="D14" s="6">
        <f t="shared" si="0"/>
        <v>68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0</v>
      </c>
      <c r="C15" s="5"/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812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ERVING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PORFIRIO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 xml:space="preserve">FRANCISCO 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PAULINA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>
        <f t="shared" si="1"/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90.222222222222214</v>
      </c>
      <c r="H41" s="27">
        <f>F4/SUM(J41:J55)</f>
        <v>1.8796296296296295</v>
      </c>
      <c r="I41" s="28">
        <f t="shared" ref="I41:I55" si="8">IF(G41&lt;0,0,G41)</f>
        <v>90.222222222222214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67.666666666666657</v>
      </c>
      <c r="H42" s="27">
        <f>F4/SUM(J41:J55)</f>
        <v>1.8796296296296295</v>
      </c>
      <c r="I42" s="28">
        <f t="shared" si="8"/>
        <v>67.666666666666657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90.222222222222214</v>
      </c>
      <c r="H43" s="27">
        <f>F4/SUM(J41:J55)</f>
        <v>1.8796296296296295</v>
      </c>
      <c r="I43" s="28">
        <f t="shared" si="8"/>
        <v>90.222222222222214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ERVING</v>
      </c>
      <c r="G44" s="26">
        <f t="shared" si="7"/>
        <v>45.111111111111107</v>
      </c>
      <c r="H44" s="27">
        <f>F4/SUM(J41:J55)</f>
        <v>1.8796296296296295</v>
      </c>
      <c r="I44" s="28">
        <f t="shared" si="8"/>
        <v>45.111111111111107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90.222222222222214</v>
      </c>
      <c r="H45" s="27">
        <f>F4/SUM(J41:J55)</f>
        <v>1.8796296296296295</v>
      </c>
      <c r="I45" s="28">
        <f t="shared" si="8"/>
        <v>90.222222222222214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PORFIRIO</v>
      </c>
      <c r="G46" s="26">
        <f t="shared" si="7"/>
        <v>67.666666666666657</v>
      </c>
      <c r="H46" s="27">
        <f>F4/SUM(J41:J55)</f>
        <v>1.8796296296296295</v>
      </c>
      <c r="I46" s="28">
        <f t="shared" si="8"/>
        <v>67.666666666666657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90.222222222222214</v>
      </c>
      <c r="H47" s="27">
        <f>F4/SUM(J41:J55)</f>
        <v>1.8796296296296295</v>
      </c>
      <c r="I47" s="28">
        <f t="shared" si="8"/>
        <v>90.222222222222214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45.111111111111107</v>
      </c>
      <c r="H48" s="27">
        <f>F4/SUM(J41:J55)</f>
        <v>1.8796296296296295</v>
      </c>
      <c r="I48" s="28">
        <f t="shared" si="8"/>
        <v>45.111111111111107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90.222222222222214</v>
      </c>
      <c r="H49" s="27">
        <f>F4/SUM(J41:J55)</f>
        <v>1.8796296296296295</v>
      </c>
      <c r="I49" s="28">
        <f t="shared" si="8"/>
        <v>90.222222222222214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 xml:space="preserve">FRANCISCO </v>
      </c>
      <c r="G50" s="26">
        <f t="shared" si="7"/>
        <v>67.666666666666657</v>
      </c>
      <c r="H50" s="27">
        <f>F4/SUM(J41:J55)</f>
        <v>1.8796296296296295</v>
      </c>
      <c r="I50" s="28">
        <f t="shared" si="8"/>
        <v>67.666666666666657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PAULINA</v>
      </c>
      <c r="G51" s="26">
        <f t="shared" si="7"/>
        <v>67.666666666666657</v>
      </c>
      <c r="H51" s="27">
        <f>F4/SUM(J41:J55)</f>
        <v>1.8796296296296295</v>
      </c>
      <c r="I51" s="28">
        <f t="shared" si="8"/>
        <v>67.666666666666657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0</v>
      </c>
      <c r="C52" s="25">
        <f t="shared" si="4"/>
        <v>0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0</v>
      </c>
      <c r="F52" s="23">
        <f t="shared" si="6"/>
        <v>0</v>
      </c>
      <c r="G52" s="26">
        <f t="shared" si="7"/>
        <v>0</v>
      </c>
      <c r="H52" s="27">
        <f>F4/SUM(J41:J55)</f>
        <v>1.8796296296296295</v>
      </c>
      <c r="I52" s="28">
        <f t="shared" si="8"/>
        <v>0</v>
      </c>
      <c r="J52" s="24">
        <f t="shared" si="9"/>
        <v>0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1.8796296296296295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1.8796296296296295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1.8796296296296295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61</v>
      </c>
      <c r="E4" s="1"/>
      <c r="F4" s="7">
        <v>540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23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61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6</v>
      </c>
      <c r="C7" s="5" t="s">
        <v>39</v>
      </c>
      <c r="D7" s="6">
        <f t="shared" si="0"/>
        <v>46</v>
      </c>
      <c r="E7" s="1"/>
      <c r="F7" s="42" t="s">
        <v>38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61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37</v>
      </c>
      <c r="D9" s="6">
        <f t="shared" si="0"/>
        <v>46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61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30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61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41</v>
      </c>
      <c r="D13" s="6">
        <f t="shared" si="0"/>
        <v>46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43</v>
      </c>
      <c r="D14" s="6">
        <f t="shared" si="0"/>
        <v>46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/>
      <c r="C15" s="5"/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542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>
        <v>3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18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ERVING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PORFIRIO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 xml:space="preserve">FRANCISCO 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PAULINA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>
        <f t="shared" si="1"/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60.845070422535215</v>
      </c>
      <c r="H41" s="27">
        <f>F4/SUM(J41:J55)</f>
        <v>1.267605633802817</v>
      </c>
      <c r="I41" s="28">
        <f t="shared" ref="I41:I55" si="8">IF(G41&lt;0,0,G41)</f>
        <v>60.845070422535215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18</v>
      </c>
      <c r="E42" s="25">
        <f t="shared" si="5"/>
        <v>18</v>
      </c>
      <c r="F42" s="23" t="str">
        <f t="shared" si="6"/>
        <v>EDMUNDO</v>
      </c>
      <c r="G42" s="26">
        <f t="shared" si="7"/>
        <v>22.816901408450704</v>
      </c>
      <c r="H42" s="27">
        <f>F4/SUM(J41:J55)</f>
        <v>1.267605633802817</v>
      </c>
      <c r="I42" s="28">
        <f t="shared" si="8"/>
        <v>22.816901408450704</v>
      </c>
      <c r="J42" s="24">
        <f t="shared" si="9"/>
        <v>18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60.845070422535215</v>
      </c>
      <c r="H43" s="27">
        <f>F4/SUM(J41:J55)</f>
        <v>1.267605633802817</v>
      </c>
      <c r="I43" s="28">
        <f t="shared" si="8"/>
        <v>60.845070422535215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6</v>
      </c>
      <c r="C44" s="25">
        <f t="shared" si="4"/>
        <v>36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36</v>
      </c>
      <c r="F44" s="23" t="str">
        <f t="shared" si="6"/>
        <v>ERVING</v>
      </c>
      <c r="G44" s="26">
        <f t="shared" si="7"/>
        <v>45.633802816901408</v>
      </c>
      <c r="H44" s="27">
        <f>F4/SUM(J41:J55)</f>
        <v>1.267605633802817</v>
      </c>
      <c r="I44" s="28">
        <f t="shared" si="8"/>
        <v>45.633802816901408</v>
      </c>
      <c r="J44" s="24">
        <f t="shared" si="9"/>
        <v>36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60.845070422535215</v>
      </c>
      <c r="H45" s="27">
        <f>F4/SUM(J41:J55)</f>
        <v>1.267605633802817</v>
      </c>
      <c r="I45" s="28">
        <f t="shared" si="8"/>
        <v>60.845070422535215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PORFIRIO</v>
      </c>
      <c r="G46" s="26">
        <f t="shared" si="7"/>
        <v>45.633802816901408</v>
      </c>
      <c r="H46" s="27">
        <f>F4/SUM(J41:J55)</f>
        <v>1.267605633802817</v>
      </c>
      <c r="I46" s="28">
        <f t="shared" si="8"/>
        <v>45.633802816901408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60.845070422535215</v>
      </c>
      <c r="H47" s="27">
        <f>F4/SUM(J41:J55)</f>
        <v>1.267605633802817</v>
      </c>
      <c r="I47" s="28">
        <f t="shared" si="8"/>
        <v>60.845070422535215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30.422535211267608</v>
      </c>
      <c r="H48" s="27">
        <f>F4/SUM(J41:J55)</f>
        <v>1.267605633802817</v>
      </c>
      <c r="I48" s="28">
        <f t="shared" si="8"/>
        <v>30.422535211267608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60.845070422535215</v>
      </c>
      <c r="H49" s="27">
        <f>F4/SUM(J41:J55)</f>
        <v>1.267605633802817</v>
      </c>
      <c r="I49" s="28">
        <f t="shared" si="8"/>
        <v>60.845070422535215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 xml:space="preserve">FRANCISCO </v>
      </c>
      <c r="G50" s="26">
        <f t="shared" si="7"/>
        <v>45.633802816901408</v>
      </c>
      <c r="H50" s="27">
        <f>F4/SUM(J41:J55)</f>
        <v>1.267605633802817</v>
      </c>
      <c r="I50" s="28">
        <f t="shared" si="8"/>
        <v>45.633802816901408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PAULINA</v>
      </c>
      <c r="G51" s="26">
        <f t="shared" si="7"/>
        <v>45.633802816901408</v>
      </c>
      <c r="H51" s="27">
        <f>F4/SUM(J41:J55)</f>
        <v>1.267605633802817</v>
      </c>
      <c r="I51" s="28">
        <f t="shared" si="8"/>
        <v>45.633802816901408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0</v>
      </c>
      <c r="C52" s="25">
        <f t="shared" si="4"/>
        <v>0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0</v>
      </c>
      <c r="F52" s="23">
        <f t="shared" si="6"/>
        <v>0</v>
      </c>
      <c r="G52" s="26">
        <f t="shared" si="7"/>
        <v>0</v>
      </c>
      <c r="H52" s="27">
        <f>F4/SUM(J41:J55)</f>
        <v>1.267605633802817</v>
      </c>
      <c r="I52" s="28">
        <f t="shared" si="8"/>
        <v>0</v>
      </c>
      <c r="J52" s="24">
        <f t="shared" si="9"/>
        <v>0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1.267605633802817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1.267605633802817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1.267605633802817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66</v>
      </c>
      <c r="E4" s="1"/>
      <c r="F4" s="7">
        <v>620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25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66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6</v>
      </c>
      <c r="C7" s="5" t="s">
        <v>39</v>
      </c>
      <c r="D7" s="6">
        <f t="shared" si="0"/>
        <v>50</v>
      </c>
      <c r="E7" s="1"/>
      <c r="F7" s="42" t="s">
        <v>44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66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37</v>
      </c>
      <c r="D9" s="6">
        <f t="shared" si="0"/>
        <v>50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66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33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66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41</v>
      </c>
      <c r="D13" s="6">
        <f t="shared" si="0"/>
        <v>50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43</v>
      </c>
      <c r="D14" s="6">
        <f t="shared" si="0"/>
        <v>33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45</v>
      </c>
      <c r="D15" s="6">
        <f t="shared" si="0"/>
        <v>50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621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>
        <v>3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18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ERVING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PORFIRIO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 xml:space="preserve">FRANCISCO 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PAULINA</v>
      </c>
      <c r="B33" s="18"/>
      <c r="C33" s="18"/>
      <c r="D33" s="18">
        <v>2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12</v>
      </c>
      <c r="P33" s="17" t="s">
        <v>30</v>
      </c>
      <c r="Q33" s="1"/>
    </row>
    <row r="34" spans="1:17" ht="15.75" customHeight="1" x14ac:dyDescent="0.25">
      <c r="A34" s="15" t="str">
        <f t="shared" si="1"/>
        <v>KEVIN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66.133333333333326</v>
      </c>
      <c r="H41" s="27">
        <f>F4/SUM(J41:J55)</f>
        <v>1.3777777777777778</v>
      </c>
      <c r="I41" s="28">
        <f t="shared" ref="I41:I55" si="8">IF(G41&lt;0,0,G41)</f>
        <v>66.133333333333326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18</v>
      </c>
      <c r="E42" s="25">
        <f t="shared" si="5"/>
        <v>18</v>
      </c>
      <c r="F42" s="23" t="str">
        <f t="shared" si="6"/>
        <v>EDMUNDO</v>
      </c>
      <c r="G42" s="26">
        <f t="shared" si="7"/>
        <v>24.8</v>
      </c>
      <c r="H42" s="27">
        <f>F4/SUM(J41:J55)</f>
        <v>1.3777777777777778</v>
      </c>
      <c r="I42" s="28">
        <f t="shared" si="8"/>
        <v>24.8</v>
      </c>
      <c r="J42" s="24">
        <f t="shared" si="9"/>
        <v>18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66.133333333333326</v>
      </c>
      <c r="H43" s="27">
        <f>F4/SUM(J41:J55)</f>
        <v>1.3777777777777778</v>
      </c>
      <c r="I43" s="28">
        <f t="shared" si="8"/>
        <v>66.133333333333326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6</v>
      </c>
      <c r="C44" s="25">
        <f t="shared" si="4"/>
        <v>36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36</v>
      </c>
      <c r="F44" s="23" t="str">
        <f t="shared" si="6"/>
        <v>ERVING</v>
      </c>
      <c r="G44" s="26">
        <f t="shared" si="7"/>
        <v>49.6</v>
      </c>
      <c r="H44" s="27">
        <f>F4/SUM(J41:J55)</f>
        <v>1.3777777777777778</v>
      </c>
      <c r="I44" s="28">
        <f t="shared" si="8"/>
        <v>49.6</v>
      </c>
      <c r="J44" s="24">
        <f t="shared" si="9"/>
        <v>36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66.133333333333326</v>
      </c>
      <c r="H45" s="27">
        <f>F4/SUM(J41:J55)</f>
        <v>1.3777777777777778</v>
      </c>
      <c r="I45" s="28">
        <f t="shared" si="8"/>
        <v>66.133333333333326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PORFIRIO</v>
      </c>
      <c r="G46" s="26">
        <f t="shared" si="7"/>
        <v>49.6</v>
      </c>
      <c r="H46" s="27">
        <f>F4/SUM(J41:J55)</f>
        <v>1.3777777777777778</v>
      </c>
      <c r="I46" s="28">
        <f t="shared" si="8"/>
        <v>49.6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66.133333333333326</v>
      </c>
      <c r="H47" s="27">
        <f>F4/SUM(J41:J55)</f>
        <v>1.3777777777777778</v>
      </c>
      <c r="I47" s="28">
        <f t="shared" si="8"/>
        <v>66.133333333333326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33.066666666666663</v>
      </c>
      <c r="H48" s="27">
        <f>F4/SUM(J41:J55)</f>
        <v>1.3777777777777778</v>
      </c>
      <c r="I48" s="28">
        <f t="shared" si="8"/>
        <v>33.066666666666663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66.133333333333326</v>
      </c>
      <c r="H49" s="27">
        <f>F4/SUM(J41:J55)</f>
        <v>1.3777777777777778</v>
      </c>
      <c r="I49" s="28">
        <f t="shared" si="8"/>
        <v>66.133333333333326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 xml:space="preserve">FRANCISCO </v>
      </c>
      <c r="G50" s="26">
        <f t="shared" si="7"/>
        <v>49.6</v>
      </c>
      <c r="H50" s="27">
        <f>F4/SUM(J41:J55)</f>
        <v>1.3777777777777778</v>
      </c>
      <c r="I50" s="28">
        <f t="shared" si="8"/>
        <v>49.6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12</v>
      </c>
      <c r="E51" s="25">
        <f t="shared" si="5"/>
        <v>24</v>
      </c>
      <c r="F51" s="23" t="str">
        <f t="shared" si="6"/>
        <v>PAULINA</v>
      </c>
      <c r="G51" s="26">
        <f t="shared" si="7"/>
        <v>33.066666666666663</v>
      </c>
      <c r="H51" s="27">
        <f>F4/SUM(J41:J55)</f>
        <v>1.3777777777777778</v>
      </c>
      <c r="I51" s="28">
        <f t="shared" si="8"/>
        <v>33.066666666666663</v>
      </c>
      <c r="J51" s="24">
        <f t="shared" si="9"/>
        <v>24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KEVIN</v>
      </c>
      <c r="G52" s="26">
        <f t="shared" si="7"/>
        <v>49.6</v>
      </c>
      <c r="H52" s="27">
        <f>F4/SUM(J41:J55)</f>
        <v>1.3777777777777778</v>
      </c>
      <c r="I52" s="28">
        <f t="shared" si="8"/>
        <v>49.6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1.3777777777777778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1.3777777777777778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1.3777777777777778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 t="e">
        <f t="shared" ref="D4:D18" si="0">ROUND(I41,0)</f>
        <v>#VALUE!</v>
      </c>
      <c r="E4" s="1"/>
      <c r="F4" s="7">
        <v>440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 t="e">
        <f t="shared" si="0"/>
        <v>#VALUE!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 t="s">
        <v>46</v>
      </c>
      <c r="C6" s="5" t="s">
        <v>5</v>
      </c>
      <c r="D6" s="6" t="e">
        <f t="shared" si="0"/>
        <v>#VALUE!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6</v>
      </c>
      <c r="C7" s="5" t="s">
        <v>45</v>
      </c>
      <c r="D7" s="6" t="e">
        <f t="shared" si="0"/>
        <v>#VALUE!</v>
      </c>
      <c r="E7" s="1"/>
      <c r="F7" s="42" t="s">
        <v>38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 t="e">
        <f t="shared" si="0"/>
        <v>#VALUE!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39</v>
      </c>
      <c r="D9" s="6" t="e">
        <f t="shared" si="0"/>
        <v>#VALUE!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 t="e">
        <f t="shared" si="0"/>
        <v>#VALUE!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 t="e">
        <f t="shared" si="0"/>
        <v>#VALUE!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 t="e">
        <f t="shared" si="0"/>
        <v>#VALUE!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15</v>
      </c>
      <c r="D13" s="6" t="e">
        <f t="shared" si="0"/>
        <v>#VALUE!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 t="e">
        <f t="shared" si="0"/>
        <v>#VALUE!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43</v>
      </c>
      <c r="D15" s="6" t="e">
        <f t="shared" si="0"/>
        <v>#VALUE!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 t="e">
        <f t="shared" si="0"/>
        <v>#VALUE!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 t="e">
        <f t="shared" si="0"/>
        <v>#VALUE!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 t="e">
        <f t="shared" si="0"/>
        <v>#VALUE!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 t="e">
        <f>SUM(D4:D18)</f>
        <v>#VALUE!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>
        <v>7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56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 t="e">
        <f t="shared" si="2"/>
        <v>#VALUE!</v>
      </c>
      <c r="P25" s="17" t="s">
        <v>30</v>
      </c>
      <c r="Q25" s="1"/>
    </row>
    <row r="26" spans="1:17" ht="15.75" customHeight="1" x14ac:dyDescent="0.25">
      <c r="A26" s="15" t="str">
        <f t="shared" si="1"/>
        <v>KEVIN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ERVING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FRANCISCO</v>
      </c>
      <c r="B32" s="19"/>
      <c r="C32" s="19"/>
      <c r="D32" s="19"/>
      <c r="E32" s="19"/>
      <c r="F32" s="19"/>
      <c r="G32" s="19"/>
      <c r="H32" s="19"/>
      <c r="I32" s="20"/>
      <c r="J32" s="19">
        <v>1</v>
      </c>
      <c r="K32" s="19"/>
      <c r="L32" s="19"/>
      <c r="M32" s="19"/>
      <c r="N32" s="19"/>
      <c r="O32" s="16">
        <f t="shared" si="2"/>
        <v>18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PAULINA</v>
      </c>
      <c r="B34" s="11"/>
      <c r="C34" s="11"/>
      <c r="D34" s="11">
        <v>7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42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56</v>
      </c>
      <c r="E41" s="25">
        <f t="shared" ref="E41:E55" si="5">C41-D41</f>
        <v>-8</v>
      </c>
      <c r="F41" s="23" t="str">
        <f t="shared" ref="F41:F55" si="6">C4</f>
        <v>IVETH</v>
      </c>
      <c r="G41" s="26" t="e">
        <f t="shared" ref="G41:G55" si="7">H41*E41</f>
        <v>#VALUE!</v>
      </c>
      <c r="H41" s="27" t="e">
        <f>F4/SUM(J41:J55)</f>
        <v>#VALUE!</v>
      </c>
      <c r="I41" s="28" t="e">
        <f t="shared" ref="I41:I55" si="8">IF(G41&lt;0,0,G41)</f>
        <v>#VALUE!</v>
      </c>
      <c r="J41" s="24">
        <f t="shared" ref="J41:J55" si="9">IF(E41&lt;0,0,E41)</f>
        <v>0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 t="e">
        <f t="shared" si="7"/>
        <v>#VALUE!</v>
      </c>
      <c r="H42" s="27" t="e">
        <f>F4/SUM(J41:J55)</f>
        <v>#VALUE!</v>
      </c>
      <c r="I42" s="28" t="e">
        <f t="shared" si="8"/>
        <v>#VALUE!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 t="str">
        <f t="shared" si="3"/>
        <v>-</v>
      </c>
      <c r="C43" s="25" t="e">
        <f t="shared" si="4"/>
        <v>#VALUE!</v>
      </c>
      <c r="D43" s="25" t="e">
        <f>(B6*B25*B21)+(B6*C25*C21)+(B6*D25*D21)+(B6*E25*E21)+(B6*F25*F21)+(B6*G25*G21)+(B6*H25*H21)+(B6*I25*I21)+(B6*J25*J21)+(B6*K25*K21)+(B6*L25*L21)+(B6*M25*M21)+(B6*N25*N21)</f>
        <v>#VALUE!</v>
      </c>
      <c r="E43" s="25" t="e">
        <f t="shared" si="5"/>
        <v>#VALUE!</v>
      </c>
      <c r="F43" s="23" t="str">
        <f t="shared" si="6"/>
        <v>MARGOT</v>
      </c>
      <c r="G43" s="26" t="e">
        <f t="shared" si="7"/>
        <v>#VALUE!</v>
      </c>
      <c r="H43" s="27" t="e">
        <f>F4/SUM(J41:J55)</f>
        <v>#VALUE!</v>
      </c>
      <c r="I43" s="28" t="e">
        <f t="shared" si="8"/>
        <v>#VALUE!</v>
      </c>
      <c r="J43" s="24" t="e">
        <f t="shared" si="9"/>
        <v>#VALUE!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6</v>
      </c>
      <c r="C44" s="25">
        <f t="shared" si="4"/>
        <v>36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36</v>
      </c>
      <c r="F44" s="23" t="str">
        <f t="shared" si="6"/>
        <v>KEVIN</v>
      </c>
      <c r="G44" s="26" t="e">
        <f t="shared" si="7"/>
        <v>#VALUE!</v>
      </c>
      <c r="H44" s="27" t="e">
        <f>F4/SUM(J41:J55)</f>
        <v>#VALUE!</v>
      </c>
      <c r="I44" s="28" t="e">
        <f t="shared" si="8"/>
        <v>#VALUE!</v>
      </c>
      <c r="J44" s="24">
        <f t="shared" si="9"/>
        <v>36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 t="e">
        <f t="shared" si="7"/>
        <v>#VALUE!</v>
      </c>
      <c r="H45" s="27" t="e">
        <f>F4/SUM(J41:J55)</f>
        <v>#VALUE!</v>
      </c>
      <c r="I45" s="28" t="e">
        <f t="shared" si="8"/>
        <v>#VALUE!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ERVING</v>
      </c>
      <c r="G46" s="26" t="e">
        <f t="shared" si="7"/>
        <v>#VALUE!</v>
      </c>
      <c r="H46" s="27" t="e">
        <f>F4/SUM(J41:J55)</f>
        <v>#VALUE!</v>
      </c>
      <c r="I46" s="28" t="e">
        <f t="shared" si="8"/>
        <v>#VALUE!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 t="e">
        <f t="shared" si="7"/>
        <v>#VALUE!</v>
      </c>
      <c r="H47" s="27" t="e">
        <f>F4/SUM(J41:J55)</f>
        <v>#VALUE!</v>
      </c>
      <c r="I47" s="28" t="e">
        <f t="shared" si="8"/>
        <v>#VALUE!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 t="e">
        <f t="shared" si="7"/>
        <v>#VALUE!</v>
      </c>
      <c r="H48" s="27" t="e">
        <f>F4/SUM(J41:J55)</f>
        <v>#VALUE!</v>
      </c>
      <c r="I48" s="28" t="e">
        <f t="shared" si="8"/>
        <v>#VALUE!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 t="e">
        <f t="shared" si="7"/>
        <v>#VALUE!</v>
      </c>
      <c r="H49" s="27" t="e">
        <f>F4/SUM(J41:J55)</f>
        <v>#VALUE!</v>
      </c>
      <c r="I49" s="28" t="e">
        <f t="shared" si="8"/>
        <v>#VALUE!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18</v>
      </c>
      <c r="E50" s="25">
        <f t="shared" si="5"/>
        <v>18</v>
      </c>
      <c r="F50" s="23" t="str">
        <f t="shared" si="6"/>
        <v>FRANCISCO</v>
      </c>
      <c r="G50" s="26" t="e">
        <f t="shared" si="7"/>
        <v>#VALUE!</v>
      </c>
      <c r="H50" s="27" t="e">
        <f>F4/SUM(J41:J55)</f>
        <v>#VALUE!</v>
      </c>
      <c r="I50" s="28" t="e">
        <f t="shared" si="8"/>
        <v>#VALUE!</v>
      </c>
      <c r="J50" s="24">
        <f t="shared" si="9"/>
        <v>18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 t="e">
        <f t="shared" si="7"/>
        <v>#VALUE!</v>
      </c>
      <c r="H51" s="27" t="e">
        <f>F4/SUM(J41:J55)</f>
        <v>#VALUE!</v>
      </c>
      <c r="I51" s="28" t="e">
        <f t="shared" si="8"/>
        <v>#VALUE!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42</v>
      </c>
      <c r="E52" s="25">
        <f t="shared" si="5"/>
        <v>-6</v>
      </c>
      <c r="F52" s="23" t="str">
        <f t="shared" si="6"/>
        <v>PAULINA</v>
      </c>
      <c r="G52" s="26" t="e">
        <f t="shared" si="7"/>
        <v>#VALUE!</v>
      </c>
      <c r="H52" s="27" t="e">
        <f>F4/SUM(J41:J55)</f>
        <v>#VALUE!</v>
      </c>
      <c r="I52" s="28" t="e">
        <f t="shared" si="8"/>
        <v>#VALUE!</v>
      </c>
      <c r="J52" s="24">
        <f t="shared" si="9"/>
        <v>0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 t="e">
        <f t="shared" si="7"/>
        <v>#VALUE!</v>
      </c>
      <c r="H53" s="27" t="e">
        <f>F4/SUM(J41:J55)</f>
        <v>#VALUE!</v>
      </c>
      <c r="I53" s="28" t="e">
        <f t="shared" si="8"/>
        <v>#VALUE!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 t="e">
        <f t="shared" si="7"/>
        <v>#VALUE!</v>
      </c>
      <c r="H54" s="27" t="e">
        <f>F4/SUM(J41:J55)</f>
        <v>#VALUE!</v>
      </c>
      <c r="I54" s="28" t="e">
        <f t="shared" si="8"/>
        <v>#VALUE!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 t="e">
        <f t="shared" si="7"/>
        <v>#VALUE!</v>
      </c>
      <c r="H55" s="27" t="e">
        <f>F4/SUM(J41:J55)</f>
        <v>#VALUE!</v>
      </c>
      <c r="I55" s="28" t="e">
        <f t="shared" si="8"/>
        <v>#VALUE!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0</v>
      </c>
      <c r="E4" s="1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0</v>
      </c>
      <c r="E7" s="1"/>
      <c r="F7" s="42"/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>
        <f t="shared" si="0"/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0</v>
      </c>
      <c r="H41" s="27">
        <f>F4/SUM(J41:J55)</f>
        <v>0</v>
      </c>
      <c r="I41" s="28">
        <f t="shared" ref="I41:I55" si="8">IF(G41&lt;0,0,G41)</f>
        <v>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0</v>
      </c>
      <c r="H42" s="27">
        <f>F4/SUM(J41:J55)</f>
        <v>0</v>
      </c>
      <c r="I42" s="28">
        <f t="shared" si="8"/>
        <v>0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>
        <f t="shared" si="7"/>
        <v>0</v>
      </c>
      <c r="H43" s="27">
        <f>F4/SUM(J41:J55)</f>
        <v>0</v>
      </c>
      <c r="I43" s="28">
        <f t="shared" si="8"/>
        <v>0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0</v>
      </c>
      <c r="H44" s="27">
        <f>F4/SUM(J41:J55)</f>
        <v>0</v>
      </c>
      <c r="I44" s="28">
        <f t="shared" si="8"/>
        <v>0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0</v>
      </c>
      <c r="H45" s="27">
        <f>F4/SUM(J41:J55)</f>
        <v>0</v>
      </c>
      <c r="I45" s="28">
        <f t="shared" si="8"/>
        <v>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>
        <f t="shared" si="7"/>
        <v>0</v>
      </c>
      <c r="H46" s="27">
        <f>F4/SUM(J41:J55)</f>
        <v>0</v>
      </c>
      <c r="I46" s="28">
        <f t="shared" si="8"/>
        <v>0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0</v>
      </c>
      <c r="H47" s="27">
        <f>F4/SUM(J41:J55)</f>
        <v>0</v>
      </c>
      <c r="I47" s="28">
        <f t="shared" si="8"/>
        <v>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0</v>
      </c>
      <c r="H48" s="27">
        <f>F4/SUM(J41:J55)</f>
        <v>0</v>
      </c>
      <c r="I48" s="28">
        <f t="shared" si="8"/>
        <v>0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0</v>
      </c>
      <c r="H49" s="27">
        <f>F4/SUM(J41:J55)</f>
        <v>0</v>
      </c>
      <c r="I49" s="28">
        <f t="shared" si="8"/>
        <v>0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0</v>
      </c>
      <c r="H50" s="27">
        <f>F4/SUM(J41:J55)</f>
        <v>0</v>
      </c>
      <c r="I50" s="28">
        <f t="shared" si="8"/>
        <v>0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0</v>
      </c>
      <c r="H51" s="27">
        <f>F4/SUM(J41:J55)</f>
        <v>0</v>
      </c>
      <c r="I51" s="28">
        <f t="shared" si="8"/>
        <v>0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0</v>
      </c>
      <c r="H52" s="27">
        <f>F4/SUM(J41:J55)</f>
        <v>0</v>
      </c>
      <c r="I52" s="28">
        <f t="shared" si="8"/>
        <v>0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0</v>
      </c>
      <c r="E4" s="1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0</v>
      </c>
      <c r="E7" s="1"/>
      <c r="F7" s="42"/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>
        <f t="shared" si="0"/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0</v>
      </c>
      <c r="H41" s="27">
        <f>F4/SUM(J41:J55)</f>
        <v>0</v>
      </c>
      <c r="I41" s="28">
        <f t="shared" ref="I41:I55" si="8">IF(G41&lt;0,0,G41)</f>
        <v>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0</v>
      </c>
      <c r="H42" s="27">
        <f>F4/SUM(J41:J55)</f>
        <v>0</v>
      </c>
      <c r="I42" s="28">
        <f t="shared" si="8"/>
        <v>0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>
        <f t="shared" si="7"/>
        <v>0</v>
      </c>
      <c r="H43" s="27">
        <f>F4/SUM(J41:J55)</f>
        <v>0</v>
      </c>
      <c r="I43" s="28">
        <f t="shared" si="8"/>
        <v>0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0</v>
      </c>
      <c r="H44" s="27">
        <f>F4/SUM(J41:J55)</f>
        <v>0</v>
      </c>
      <c r="I44" s="28">
        <f t="shared" si="8"/>
        <v>0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0</v>
      </c>
      <c r="H45" s="27">
        <f>F4/SUM(J41:J55)</f>
        <v>0</v>
      </c>
      <c r="I45" s="28">
        <f t="shared" si="8"/>
        <v>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>
        <f t="shared" si="7"/>
        <v>0</v>
      </c>
      <c r="H46" s="27">
        <f>F4/SUM(J41:J55)</f>
        <v>0</v>
      </c>
      <c r="I46" s="28">
        <f t="shared" si="8"/>
        <v>0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0</v>
      </c>
      <c r="H47" s="27">
        <f>F4/SUM(J41:J55)</f>
        <v>0</v>
      </c>
      <c r="I47" s="28">
        <f t="shared" si="8"/>
        <v>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0</v>
      </c>
      <c r="H48" s="27">
        <f>F4/SUM(J41:J55)</f>
        <v>0</v>
      </c>
      <c r="I48" s="28">
        <f t="shared" si="8"/>
        <v>0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0</v>
      </c>
      <c r="H49" s="27">
        <f>F4/SUM(J41:J55)</f>
        <v>0</v>
      </c>
      <c r="I49" s="28">
        <f t="shared" si="8"/>
        <v>0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0</v>
      </c>
      <c r="H50" s="27">
        <f>F4/SUM(J41:J55)</f>
        <v>0</v>
      </c>
      <c r="I50" s="28">
        <f t="shared" si="8"/>
        <v>0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0</v>
      </c>
      <c r="H51" s="27">
        <f>F4/SUM(J41:J55)</f>
        <v>0</v>
      </c>
      <c r="I51" s="28">
        <f t="shared" si="8"/>
        <v>0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0</v>
      </c>
      <c r="H52" s="27">
        <f>F4/SUM(J41:J55)</f>
        <v>0</v>
      </c>
      <c r="I52" s="28">
        <f t="shared" si="8"/>
        <v>0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0</v>
      </c>
      <c r="E4" s="1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0</v>
      </c>
      <c r="E7" s="1"/>
      <c r="F7" s="42"/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>
        <f t="shared" si="0"/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0</v>
      </c>
      <c r="H41" s="27">
        <f>F4/SUM(J41:J55)</f>
        <v>0</v>
      </c>
      <c r="I41" s="28">
        <f t="shared" ref="I41:I55" si="8">IF(G41&lt;0,0,G41)</f>
        <v>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0</v>
      </c>
      <c r="H42" s="27">
        <f>F4/SUM(J41:J55)</f>
        <v>0</v>
      </c>
      <c r="I42" s="28">
        <f t="shared" si="8"/>
        <v>0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>
        <f t="shared" si="7"/>
        <v>0</v>
      </c>
      <c r="H43" s="27">
        <f>F4/SUM(J41:J55)</f>
        <v>0</v>
      </c>
      <c r="I43" s="28">
        <f t="shared" si="8"/>
        <v>0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0</v>
      </c>
      <c r="H44" s="27">
        <f>F4/SUM(J41:J55)</f>
        <v>0</v>
      </c>
      <c r="I44" s="28">
        <f t="shared" si="8"/>
        <v>0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0</v>
      </c>
      <c r="H45" s="27">
        <f>F4/SUM(J41:J55)</f>
        <v>0</v>
      </c>
      <c r="I45" s="28">
        <f t="shared" si="8"/>
        <v>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>
        <f t="shared" si="7"/>
        <v>0</v>
      </c>
      <c r="H46" s="27">
        <f>F4/SUM(J41:J55)</f>
        <v>0</v>
      </c>
      <c r="I46" s="28">
        <f t="shared" si="8"/>
        <v>0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0</v>
      </c>
      <c r="H47" s="27">
        <f>F4/SUM(J41:J55)</f>
        <v>0</v>
      </c>
      <c r="I47" s="28">
        <f t="shared" si="8"/>
        <v>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0</v>
      </c>
      <c r="H48" s="27">
        <f>F4/SUM(J41:J55)</f>
        <v>0</v>
      </c>
      <c r="I48" s="28">
        <f t="shared" si="8"/>
        <v>0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0</v>
      </c>
      <c r="H49" s="27">
        <f>F4/SUM(J41:J55)</f>
        <v>0</v>
      </c>
      <c r="I49" s="28">
        <f t="shared" si="8"/>
        <v>0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0</v>
      </c>
      <c r="H50" s="27">
        <f>F4/SUM(J41:J55)</f>
        <v>0</v>
      </c>
      <c r="I50" s="28">
        <f t="shared" si="8"/>
        <v>0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0</v>
      </c>
      <c r="H51" s="27">
        <f>F4/SUM(J41:J55)</f>
        <v>0</v>
      </c>
      <c r="I51" s="28">
        <f t="shared" si="8"/>
        <v>0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0</v>
      </c>
      <c r="H52" s="27">
        <f>F4/SUM(J41:J55)</f>
        <v>0</v>
      </c>
      <c r="I52" s="28">
        <f t="shared" si="8"/>
        <v>0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96</v>
      </c>
      <c r="E4" s="1"/>
      <c r="F4" s="7">
        <v>915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72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72</v>
      </c>
      <c r="E6" s="1"/>
      <c r="F6" s="48" t="s">
        <v>6</v>
      </c>
      <c r="G6" s="49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48</v>
      </c>
      <c r="E7" s="1"/>
      <c r="F7" s="42"/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96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>
        <f t="shared" si="0"/>
        <v>72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96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48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96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72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72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72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912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96.31578947368422</v>
      </c>
      <c r="H41" s="27">
        <f>F4/SUM(J41:J55)</f>
        <v>2.0065789473684212</v>
      </c>
      <c r="I41" s="28">
        <f t="shared" ref="I41:I55" si="8">IF(G41&lt;0,0,G41)</f>
        <v>96.31578947368422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72.236842105263165</v>
      </c>
      <c r="H42" s="27">
        <f>F4/SUM(J41:J55)</f>
        <v>2.0065789473684212</v>
      </c>
      <c r="I42" s="28">
        <f t="shared" si="8"/>
        <v>72.236842105263165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>
        <f t="shared" si="7"/>
        <v>72.236842105263165</v>
      </c>
      <c r="H43" s="27">
        <f>F4/SUM(J41:J55)</f>
        <v>2.0065789473684212</v>
      </c>
      <c r="I43" s="28">
        <f t="shared" si="8"/>
        <v>72.236842105263165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48.15789473684211</v>
      </c>
      <c r="H44" s="27">
        <f>F4/SUM(J41:J55)</f>
        <v>2.0065789473684212</v>
      </c>
      <c r="I44" s="28">
        <f t="shared" si="8"/>
        <v>48.15789473684211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96.31578947368422</v>
      </c>
      <c r="H45" s="27">
        <f>F4/SUM(J41:J55)</f>
        <v>2.0065789473684212</v>
      </c>
      <c r="I45" s="28">
        <f t="shared" si="8"/>
        <v>96.31578947368422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>
        <f t="shared" si="7"/>
        <v>72.236842105263165</v>
      </c>
      <c r="H46" s="27">
        <f>F4/SUM(J41:J55)</f>
        <v>2.0065789473684212</v>
      </c>
      <c r="I46" s="28">
        <f t="shared" si="8"/>
        <v>72.236842105263165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96.31578947368422</v>
      </c>
      <c r="H47" s="27">
        <f>F4/SUM(J41:J55)</f>
        <v>2.0065789473684212</v>
      </c>
      <c r="I47" s="28">
        <f t="shared" si="8"/>
        <v>96.31578947368422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48.15789473684211</v>
      </c>
      <c r="H48" s="27">
        <f>F4/SUM(J41:J55)</f>
        <v>2.0065789473684212</v>
      </c>
      <c r="I48" s="28">
        <f t="shared" si="8"/>
        <v>48.15789473684211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96.31578947368422</v>
      </c>
      <c r="H49" s="27">
        <f>F4/SUM(J41:J55)</f>
        <v>2.0065789473684212</v>
      </c>
      <c r="I49" s="28">
        <f t="shared" si="8"/>
        <v>96.31578947368422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72.236842105263165</v>
      </c>
      <c r="H50" s="27">
        <f>F4/SUM(J41:J55)</f>
        <v>2.0065789473684212</v>
      </c>
      <c r="I50" s="28">
        <f t="shared" si="8"/>
        <v>72.236842105263165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72.236842105263165</v>
      </c>
      <c r="H51" s="27">
        <f>F4/SUM(J41:J55)</f>
        <v>2.0065789473684212</v>
      </c>
      <c r="I51" s="28">
        <f t="shared" si="8"/>
        <v>72.236842105263165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72.236842105263165</v>
      </c>
      <c r="H52" s="27">
        <f>F4/SUM(J41:J55)</f>
        <v>2.0065789473684212</v>
      </c>
      <c r="I52" s="28">
        <f t="shared" si="8"/>
        <v>72.236842105263165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2.0065789473684212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2.0065789473684212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2.0065789473684212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57</v>
      </c>
      <c r="E4" s="1"/>
      <c r="F4" s="7">
        <v>530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43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57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6</v>
      </c>
      <c r="C7" s="5" t="s">
        <v>47</v>
      </c>
      <c r="D7" s="6">
        <f t="shared" si="0"/>
        <v>43</v>
      </c>
      <c r="E7" s="1"/>
      <c r="F7" s="42" t="s">
        <v>48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57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15</v>
      </c>
      <c r="D9" s="6">
        <f t="shared" si="0"/>
        <v>43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57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29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57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43</v>
      </c>
      <c r="D13" s="6">
        <f t="shared" si="0"/>
        <v>43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45</v>
      </c>
      <c r="D14" s="6">
        <f t="shared" si="0"/>
        <v>43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/>
      <c r="C15" s="5"/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529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 xml:space="preserve">PORFIRIO 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FRANCISCO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PAULINA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KEVIN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>
        <f t="shared" si="1"/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57.297297297297298</v>
      </c>
      <c r="H41" s="27">
        <f>F4/SUM(J41:J55)</f>
        <v>1.1936936936936937</v>
      </c>
      <c r="I41" s="28">
        <f t="shared" ref="I41:I55" si="8">IF(G41&lt;0,0,G41)</f>
        <v>57.297297297297298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42.972972972972975</v>
      </c>
      <c r="H42" s="27">
        <f>F4/SUM(J41:J55)</f>
        <v>1.1936936936936937</v>
      </c>
      <c r="I42" s="28">
        <f t="shared" si="8"/>
        <v>42.972972972972975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57.297297297297298</v>
      </c>
      <c r="H43" s="27">
        <f>F4/SUM(J41:J55)</f>
        <v>1.1936936936936937</v>
      </c>
      <c r="I43" s="28">
        <f t="shared" si="8"/>
        <v>57.297297297297298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6</v>
      </c>
      <c r="C44" s="25">
        <f t="shared" si="4"/>
        <v>36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36</v>
      </c>
      <c r="F44" s="23" t="str">
        <f t="shared" si="6"/>
        <v xml:space="preserve">PORFIRIO </v>
      </c>
      <c r="G44" s="26">
        <f t="shared" si="7"/>
        <v>42.972972972972975</v>
      </c>
      <c r="H44" s="27">
        <f>F4/SUM(J41:J55)</f>
        <v>1.1936936936936937</v>
      </c>
      <c r="I44" s="28">
        <f t="shared" si="8"/>
        <v>42.972972972972975</v>
      </c>
      <c r="J44" s="24">
        <f t="shared" si="9"/>
        <v>36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57.297297297297298</v>
      </c>
      <c r="H45" s="27">
        <f>F4/SUM(J41:J55)</f>
        <v>1.1936936936936937</v>
      </c>
      <c r="I45" s="28">
        <f t="shared" si="8"/>
        <v>57.297297297297298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FRANCISCO</v>
      </c>
      <c r="G46" s="26">
        <f t="shared" si="7"/>
        <v>42.972972972972975</v>
      </c>
      <c r="H46" s="27">
        <f>F4/SUM(J41:J55)</f>
        <v>1.1936936936936937</v>
      </c>
      <c r="I46" s="28">
        <f t="shared" si="8"/>
        <v>42.972972972972975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57.297297297297298</v>
      </c>
      <c r="H47" s="27">
        <f>F4/SUM(J41:J55)</f>
        <v>1.1936936936936937</v>
      </c>
      <c r="I47" s="28">
        <f t="shared" si="8"/>
        <v>57.297297297297298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28.648648648648649</v>
      </c>
      <c r="H48" s="27">
        <f>F4/SUM(J41:J55)</f>
        <v>1.1936936936936937</v>
      </c>
      <c r="I48" s="28">
        <f t="shared" si="8"/>
        <v>28.648648648648649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57.297297297297298</v>
      </c>
      <c r="H49" s="27">
        <f>F4/SUM(J41:J55)</f>
        <v>1.1936936936936937</v>
      </c>
      <c r="I49" s="28">
        <f t="shared" si="8"/>
        <v>57.297297297297298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PAULINA</v>
      </c>
      <c r="G50" s="26">
        <f t="shared" si="7"/>
        <v>42.972972972972975</v>
      </c>
      <c r="H50" s="27">
        <f>F4/SUM(J41:J55)</f>
        <v>1.1936936936936937</v>
      </c>
      <c r="I50" s="28">
        <f t="shared" si="8"/>
        <v>42.972972972972975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KEVIN</v>
      </c>
      <c r="G51" s="26">
        <f t="shared" si="7"/>
        <v>42.972972972972975</v>
      </c>
      <c r="H51" s="27">
        <f>F4/SUM(J41:J55)</f>
        <v>1.1936936936936937</v>
      </c>
      <c r="I51" s="28">
        <f t="shared" si="8"/>
        <v>42.972972972972975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0</v>
      </c>
      <c r="C52" s="25">
        <f t="shared" si="4"/>
        <v>0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0</v>
      </c>
      <c r="F52" s="23">
        <f t="shared" si="6"/>
        <v>0</v>
      </c>
      <c r="G52" s="26">
        <f t="shared" si="7"/>
        <v>0</v>
      </c>
      <c r="H52" s="27">
        <f>F4/SUM(J41:J55)</f>
        <v>1.1936936936936937</v>
      </c>
      <c r="I52" s="28">
        <f t="shared" si="8"/>
        <v>0</v>
      </c>
      <c r="J52" s="24">
        <f t="shared" si="9"/>
        <v>0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1.1936936936936937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1.1936936936936937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1.1936936936936937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57</v>
      </c>
      <c r="E4" s="1"/>
      <c r="F4" s="7">
        <v>506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43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57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8</v>
      </c>
      <c r="C7" s="5" t="s">
        <v>8</v>
      </c>
      <c r="D7" s="6">
        <f t="shared" si="0"/>
        <v>57</v>
      </c>
      <c r="E7" s="1"/>
      <c r="F7" s="42" t="s">
        <v>38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49</v>
      </c>
      <c r="D8" s="6">
        <f t="shared" si="0"/>
        <v>57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4</v>
      </c>
      <c r="C9" s="5" t="s">
        <v>50</v>
      </c>
      <c r="D9" s="6">
        <f t="shared" si="0"/>
        <v>29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51</v>
      </c>
      <c r="D10" s="6">
        <f t="shared" si="0"/>
        <v>57</v>
      </c>
      <c r="E10" s="1" t="s">
        <v>46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6</v>
      </c>
      <c r="C11" s="5" t="s">
        <v>14</v>
      </c>
      <c r="D11" s="6">
        <f t="shared" si="0"/>
        <v>43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6</v>
      </c>
      <c r="C12" s="5" t="s">
        <v>41</v>
      </c>
      <c r="D12" s="6">
        <f t="shared" si="0"/>
        <v>14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45</v>
      </c>
      <c r="D13" s="6">
        <f t="shared" si="0"/>
        <v>43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47</v>
      </c>
      <c r="D14" s="6">
        <f t="shared" si="0"/>
        <v>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40</v>
      </c>
      <c r="D15" s="6">
        <f t="shared" si="0"/>
        <v>43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507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3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LUIS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 xml:space="preserve">JAVIER 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 xml:space="preserve">RICARDO 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 xml:space="preserve">NAYELI 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OBETH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 xml:space="preserve">FRANCISCO </v>
      </c>
      <c r="B31" s="18"/>
      <c r="C31" s="18"/>
      <c r="D31" s="18">
        <v>1</v>
      </c>
      <c r="E31" s="18"/>
      <c r="F31" s="18"/>
      <c r="G31" s="18"/>
      <c r="H31" s="18">
        <v>1</v>
      </c>
      <c r="I31" s="18"/>
      <c r="J31" s="18"/>
      <c r="K31" s="18"/>
      <c r="L31" s="18"/>
      <c r="M31" s="11"/>
      <c r="N31" s="18"/>
      <c r="O31" s="16">
        <f t="shared" si="2"/>
        <v>24</v>
      </c>
      <c r="P31" s="17" t="s">
        <v>30</v>
      </c>
      <c r="Q31" s="1"/>
    </row>
    <row r="32" spans="1:17" ht="15.75" customHeight="1" x14ac:dyDescent="0.25">
      <c r="A32" s="15" t="str">
        <f t="shared" si="1"/>
        <v>KEVIN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 xml:space="preserve">PORFIRIO </v>
      </c>
      <c r="B33" s="18"/>
      <c r="C33" s="18"/>
      <c r="D33" s="18">
        <v>5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30</v>
      </c>
      <c r="P33" s="17" t="s">
        <v>30</v>
      </c>
      <c r="Q33" s="1"/>
    </row>
    <row r="34" spans="1:17" ht="15.75" customHeight="1" x14ac:dyDescent="0.25">
      <c r="A34" s="15" t="str">
        <f t="shared" si="1"/>
        <v xml:space="preserve">PAULINA 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57.014084507042256</v>
      </c>
      <c r="H41" s="27">
        <f>F4/SUM(J41:J55)</f>
        <v>1.187793427230047</v>
      </c>
      <c r="I41" s="28">
        <f t="shared" ref="I41:I55" si="8">IF(G41&lt;0,0,G41)</f>
        <v>57.014084507042256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42.760563380281695</v>
      </c>
      <c r="H42" s="27">
        <f>F4/SUM(J41:J55)</f>
        <v>1.187793427230047</v>
      </c>
      <c r="I42" s="28">
        <f t="shared" si="8"/>
        <v>42.760563380281695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57.014084507042256</v>
      </c>
      <c r="H43" s="27">
        <f>F4/SUM(J41:J55)</f>
        <v>1.187793427230047</v>
      </c>
      <c r="I43" s="28">
        <f t="shared" si="8"/>
        <v>57.014084507042256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8</v>
      </c>
      <c r="C44" s="25">
        <f t="shared" si="4"/>
        <v>48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48</v>
      </c>
      <c r="F44" s="23" t="str">
        <f t="shared" si="6"/>
        <v>LUIS</v>
      </c>
      <c r="G44" s="26">
        <f t="shared" si="7"/>
        <v>57.014084507042256</v>
      </c>
      <c r="H44" s="27">
        <f>F4/SUM(J41:J55)</f>
        <v>1.187793427230047</v>
      </c>
      <c r="I44" s="28">
        <f t="shared" si="8"/>
        <v>57.014084507042256</v>
      </c>
      <c r="J44" s="24">
        <f t="shared" si="9"/>
        <v>48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 xml:space="preserve">JAVIER </v>
      </c>
      <c r="G45" s="26">
        <f t="shared" si="7"/>
        <v>57.014084507042256</v>
      </c>
      <c r="H45" s="27">
        <f>F4/SUM(J41:J55)</f>
        <v>1.187793427230047</v>
      </c>
      <c r="I45" s="28">
        <f t="shared" si="8"/>
        <v>57.014084507042256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4</v>
      </c>
      <c r="C46" s="25">
        <f t="shared" si="4"/>
        <v>24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24</v>
      </c>
      <c r="F46" s="23" t="str">
        <f t="shared" si="6"/>
        <v xml:space="preserve">RICARDO </v>
      </c>
      <c r="G46" s="26">
        <f t="shared" si="7"/>
        <v>28.507042253521128</v>
      </c>
      <c r="H46" s="27">
        <f>F4/SUM(J41:J55)</f>
        <v>1.187793427230047</v>
      </c>
      <c r="I46" s="28">
        <f t="shared" si="8"/>
        <v>28.507042253521128</v>
      </c>
      <c r="J46" s="24">
        <f t="shared" si="9"/>
        <v>24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 xml:space="preserve">NAYELI </v>
      </c>
      <c r="G47" s="26">
        <f t="shared" si="7"/>
        <v>57.014084507042256</v>
      </c>
      <c r="H47" s="27">
        <f>F4/SUM(J41:J55)</f>
        <v>1.187793427230047</v>
      </c>
      <c r="I47" s="28">
        <f t="shared" si="8"/>
        <v>57.014084507042256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6</v>
      </c>
      <c r="C48" s="25">
        <f t="shared" si="4"/>
        <v>36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36</v>
      </c>
      <c r="F48" s="23" t="str">
        <f t="shared" si="6"/>
        <v>OBETH</v>
      </c>
      <c r="G48" s="26">
        <f t="shared" si="7"/>
        <v>42.760563380281695</v>
      </c>
      <c r="H48" s="27">
        <f>F4/SUM(J41:J55)</f>
        <v>1.187793427230047</v>
      </c>
      <c r="I48" s="28">
        <f t="shared" si="8"/>
        <v>42.760563380281695</v>
      </c>
      <c r="J48" s="24">
        <f t="shared" si="9"/>
        <v>36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6</v>
      </c>
      <c r="C49" s="25">
        <f t="shared" si="4"/>
        <v>36</v>
      </c>
      <c r="D49" s="25">
        <f>(B12*B31*B21)+(B12*C31*C21)+(B12*D31*D21)+(B12*E31*E21)+(B12*F31*F21)+(B12*G31*G21)+(B12*H31*H21)+(B12*I31*I21)+(B12*J31*J21)+(B12*K31*K21)+(B12*L31*L21)+(B12*M31*M21)+(B12*N31*N21)</f>
        <v>24</v>
      </c>
      <c r="E49" s="25">
        <f t="shared" si="5"/>
        <v>12</v>
      </c>
      <c r="F49" s="23" t="str">
        <f t="shared" si="6"/>
        <v xml:space="preserve">FRANCISCO </v>
      </c>
      <c r="G49" s="26">
        <f t="shared" si="7"/>
        <v>14.253521126760564</v>
      </c>
      <c r="H49" s="27">
        <f>F4/SUM(J41:J55)</f>
        <v>1.187793427230047</v>
      </c>
      <c r="I49" s="28">
        <f t="shared" si="8"/>
        <v>14.253521126760564</v>
      </c>
      <c r="J49" s="24">
        <f t="shared" si="9"/>
        <v>12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KEVIN</v>
      </c>
      <c r="G50" s="26">
        <f t="shared" si="7"/>
        <v>42.760563380281695</v>
      </c>
      <c r="H50" s="27">
        <f>F4/SUM(J41:J55)</f>
        <v>1.187793427230047</v>
      </c>
      <c r="I50" s="28">
        <f t="shared" si="8"/>
        <v>42.760563380281695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30</v>
      </c>
      <c r="E51" s="25">
        <f t="shared" si="5"/>
        <v>6</v>
      </c>
      <c r="F51" s="23" t="str">
        <f t="shared" si="6"/>
        <v xml:space="preserve">PORFIRIO </v>
      </c>
      <c r="G51" s="26">
        <f t="shared" si="7"/>
        <v>7.126760563380282</v>
      </c>
      <c r="H51" s="27">
        <f>F4/SUM(J41:J55)</f>
        <v>1.187793427230047</v>
      </c>
      <c r="I51" s="28">
        <f t="shared" si="8"/>
        <v>7.126760563380282</v>
      </c>
      <c r="J51" s="24">
        <f t="shared" si="9"/>
        <v>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 xml:space="preserve">PAULINA </v>
      </c>
      <c r="G52" s="26">
        <f t="shared" si="7"/>
        <v>42.760563380281695</v>
      </c>
      <c r="H52" s="27">
        <f>F4/SUM(J41:J55)</f>
        <v>1.187793427230047</v>
      </c>
      <c r="I52" s="28">
        <f t="shared" si="8"/>
        <v>42.760563380281695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1.187793427230047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1.187793427230047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1.187793427230047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60</v>
      </c>
      <c r="E4" s="1"/>
      <c r="F4" s="7">
        <v>540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45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60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6</v>
      </c>
      <c r="C7" s="5" t="s">
        <v>47</v>
      </c>
      <c r="D7" s="6">
        <f t="shared" si="0"/>
        <v>45</v>
      </c>
      <c r="E7" s="1"/>
      <c r="F7" s="42" t="s">
        <v>52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60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41</v>
      </c>
      <c r="D9" s="6">
        <f t="shared" si="0"/>
        <v>15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60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30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30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14</v>
      </c>
      <c r="D13" s="6">
        <f t="shared" si="0"/>
        <v>45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40</v>
      </c>
      <c r="D14" s="6">
        <f t="shared" si="0"/>
        <v>45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45</v>
      </c>
      <c r="D15" s="6">
        <f t="shared" si="0"/>
        <v>45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540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 xml:space="preserve">PORFIRIO 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 xml:space="preserve">FRANCISCO </v>
      </c>
      <c r="B28" s="11"/>
      <c r="C28" s="11"/>
      <c r="D28" s="11">
        <v>4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24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>
        <v>1</v>
      </c>
      <c r="E31" s="18"/>
      <c r="F31" s="18"/>
      <c r="G31" s="18"/>
      <c r="H31" s="18">
        <v>1</v>
      </c>
      <c r="I31" s="18"/>
      <c r="J31" s="18"/>
      <c r="K31" s="18"/>
      <c r="L31" s="18"/>
      <c r="M31" s="11"/>
      <c r="N31" s="18"/>
      <c r="O31" s="16">
        <f t="shared" si="2"/>
        <v>24</v>
      </c>
      <c r="P31" s="17" t="s">
        <v>30</v>
      </c>
      <c r="Q31" s="1"/>
    </row>
    <row r="32" spans="1:17" ht="15.75" customHeight="1" x14ac:dyDescent="0.25">
      <c r="A32" s="15" t="str">
        <f t="shared" si="1"/>
        <v>OBETH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 xml:space="preserve">PAULINA 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KEVIN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60</v>
      </c>
      <c r="H41" s="27">
        <f>F4/SUM(J41:J55)</f>
        <v>1.25</v>
      </c>
      <c r="I41" s="28">
        <f t="shared" ref="I41:I55" si="8">IF(G41&lt;0,0,G41)</f>
        <v>60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45</v>
      </c>
      <c r="H42" s="27">
        <f>F4/SUM(J41:J55)</f>
        <v>1.25</v>
      </c>
      <c r="I42" s="28">
        <f t="shared" si="8"/>
        <v>45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60</v>
      </c>
      <c r="H43" s="27">
        <f>F4/SUM(J41:J55)</f>
        <v>1.25</v>
      </c>
      <c r="I43" s="28">
        <f t="shared" si="8"/>
        <v>60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6</v>
      </c>
      <c r="C44" s="25">
        <f t="shared" si="4"/>
        <v>36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36</v>
      </c>
      <c r="F44" s="23" t="str">
        <f t="shared" si="6"/>
        <v xml:space="preserve">PORFIRIO </v>
      </c>
      <c r="G44" s="26">
        <f t="shared" si="7"/>
        <v>45</v>
      </c>
      <c r="H44" s="27">
        <f>F4/SUM(J41:J55)</f>
        <v>1.25</v>
      </c>
      <c r="I44" s="28">
        <f t="shared" si="8"/>
        <v>45</v>
      </c>
      <c r="J44" s="24">
        <f t="shared" si="9"/>
        <v>36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60</v>
      </c>
      <c r="H45" s="27">
        <f>F4/SUM(J41:J55)</f>
        <v>1.25</v>
      </c>
      <c r="I45" s="28">
        <f t="shared" si="8"/>
        <v>60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24</v>
      </c>
      <c r="E46" s="25">
        <f t="shared" si="5"/>
        <v>12</v>
      </c>
      <c r="F46" s="23" t="str">
        <f t="shared" si="6"/>
        <v xml:space="preserve">FRANCISCO </v>
      </c>
      <c r="G46" s="26">
        <f t="shared" si="7"/>
        <v>15</v>
      </c>
      <c r="H46" s="27">
        <f>F4/SUM(J41:J55)</f>
        <v>1.25</v>
      </c>
      <c r="I46" s="28">
        <f t="shared" si="8"/>
        <v>15</v>
      </c>
      <c r="J46" s="24">
        <f t="shared" si="9"/>
        <v>12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60</v>
      </c>
      <c r="H47" s="27">
        <f>F4/SUM(J41:J55)</f>
        <v>1.25</v>
      </c>
      <c r="I47" s="28">
        <f t="shared" si="8"/>
        <v>60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30</v>
      </c>
      <c r="H48" s="27">
        <f>F4/SUM(J41:J55)</f>
        <v>1.25</v>
      </c>
      <c r="I48" s="28">
        <f t="shared" si="8"/>
        <v>30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24</v>
      </c>
      <c r="E49" s="25">
        <f t="shared" si="5"/>
        <v>24</v>
      </c>
      <c r="F49" s="23" t="str">
        <f t="shared" si="6"/>
        <v>NAYELI</v>
      </c>
      <c r="G49" s="26">
        <f t="shared" si="7"/>
        <v>30</v>
      </c>
      <c r="H49" s="27">
        <f>F4/SUM(J41:J55)</f>
        <v>1.25</v>
      </c>
      <c r="I49" s="28">
        <f t="shared" si="8"/>
        <v>30</v>
      </c>
      <c r="J49" s="24">
        <f t="shared" si="9"/>
        <v>24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OBETH</v>
      </c>
      <c r="G50" s="26">
        <f t="shared" si="7"/>
        <v>45</v>
      </c>
      <c r="H50" s="27">
        <f>F4/SUM(J41:J55)</f>
        <v>1.25</v>
      </c>
      <c r="I50" s="28">
        <f t="shared" si="8"/>
        <v>45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 xml:space="preserve">PAULINA </v>
      </c>
      <c r="G51" s="26">
        <f t="shared" si="7"/>
        <v>45</v>
      </c>
      <c r="H51" s="27">
        <f>F4/SUM(J41:J55)</f>
        <v>1.25</v>
      </c>
      <c r="I51" s="28">
        <f t="shared" si="8"/>
        <v>45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KEVIN</v>
      </c>
      <c r="G52" s="26">
        <f t="shared" si="7"/>
        <v>45</v>
      </c>
      <c r="H52" s="27">
        <f>F4/SUM(J41:J55)</f>
        <v>1.25</v>
      </c>
      <c r="I52" s="28">
        <f t="shared" si="8"/>
        <v>45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1.25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1.25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1.25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 t="e">
        <f t="shared" ref="D4:D18" si="0">ROUND(I41,0)</f>
        <v>#VALUE!</v>
      </c>
      <c r="E4" s="1"/>
      <c r="F4" s="7">
        <v>984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 t="e">
        <f t="shared" si="0"/>
        <v>#VALUE!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 t="e">
        <f t="shared" si="0"/>
        <v>#VALUE!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 t="e">
        <f t="shared" si="0"/>
        <v>#VALUE!</v>
      </c>
      <c r="E7" s="1"/>
      <c r="F7" s="42" t="s">
        <v>38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 t="e">
        <f t="shared" si="0"/>
        <v>#VALUE!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 t="e">
        <f t="shared" si="0"/>
        <v>#VALUE!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 t="e">
        <f t="shared" si="0"/>
        <v>#VALUE!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 t="e">
        <f t="shared" si="0"/>
        <v>#VALUE!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 t="e">
        <f t="shared" si="0"/>
        <v>#VALUE!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 t="e">
        <f t="shared" si="0"/>
        <v>#VALUE!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 t="e">
        <f t="shared" si="0"/>
        <v>#VALUE!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 t="e">
        <f t="shared" si="0"/>
        <v>#VALUE!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 t="e">
        <f t="shared" si="0"/>
        <v>#VALUE!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 t="e">
        <f t="shared" si="0"/>
        <v>#VALUE!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 t="e">
        <f t="shared" si="0"/>
        <v>#VALUE!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 t="e">
        <f>SUM(D4:D18)</f>
        <v>#VALUE!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>
        <v>1</v>
      </c>
      <c r="G30" s="18"/>
      <c r="H30" s="18"/>
      <c r="I30" s="18"/>
      <c r="J30" s="18"/>
      <c r="K30" s="18"/>
      <c r="L30" s="18"/>
      <c r="M30" s="11"/>
      <c r="N30" s="18"/>
      <c r="O30" s="16">
        <f t="shared" si="2"/>
        <v>12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>
        <v>6</v>
      </c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36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 t="s">
        <v>53</v>
      </c>
      <c r="E33" s="18"/>
      <c r="F33" s="18"/>
      <c r="G33" s="18"/>
      <c r="H33" s="18"/>
      <c r="I33" s="18">
        <v>1</v>
      </c>
      <c r="J33" s="18"/>
      <c r="K33" s="18"/>
      <c r="L33" s="18"/>
      <c r="M33" s="18"/>
      <c r="N33" s="18"/>
      <c r="O33" s="16" t="e">
        <f t="shared" si="2"/>
        <v>#VALUE!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>
        <v>1</v>
      </c>
      <c r="G34" s="11"/>
      <c r="H34" s="11"/>
      <c r="I34" s="11">
        <v>1</v>
      </c>
      <c r="J34" s="11"/>
      <c r="K34" s="11"/>
      <c r="L34" s="11"/>
      <c r="M34" s="11"/>
      <c r="N34" s="11"/>
      <c r="O34" s="16">
        <f t="shared" si="2"/>
        <v>30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 t="e">
        <f t="shared" ref="G41:G55" si="7">H41*E41</f>
        <v>#VALUE!</v>
      </c>
      <c r="H41" s="27" t="e">
        <f>F4/SUM(J41:J55)</f>
        <v>#VALUE!</v>
      </c>
      <c r="I41" s="28" t="e">
        <f t="shared" ref="I41:I55" si="8">IF(G41&lt;0,0,G41)</f>
        <v>#VALUE!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 t="e">
        <f t="shared" si="7"/>
        <v>#VALUE!</v>
      </c>
      <c r="H42" s="27" t="e">
        <f>F4/SUM(J41:J55)</f>
        <v>#VALUE!</v>
      </c>
      <c r="I42" s="28" t="e">
        <f t="shared" si="8"/>
        <v>#VALUE!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 t="e">
        <f t="shared" si="7"/>
        <v>#VALUE!</v>
      </c>
      <c r="H43" s="27" t="e">
        <f>F4/SUM(J41:J55)</f>
        <v>#VALUE!</v>
      </c>
      <c r="I43" s="28" t="e">
        <f t="shared" si="8"/>
        <v>#VALUE!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 t="e">
        <f t="shared" si="7"/>
        <v>#VALUE!</v>
      </c>
      <c r="H44" s="27" t="e">
        <f>F4/SUM(J41:J55)</f>
        <v>#VALUE!</v>
      </c>
      <c r="I44" s="28" t="e">
        <f t="shared" si="8"/>
        <v>#VALUE!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 t="e">
        <f t="shared" si="7"/>
        <v>#VALUE!</v>
      </c>
      <c r="H45" s="27" t="e">
        <f>F4/SUM(J41:J55)</f>
        <v>#VALUE!</v>
      </c>
      <c r="I45" s="28" t="e">
        <f t="shared" si="8"/>
        <v>#VALUE!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 t="e">
        <f t="shared" si="7"/>
        <v>#VALUE!</v>
      </c>
      <c r="H46" s="27" t="e">
        <f>F4/SUM(J41:J55)</f>
        <v>#VALUE!</v>
      </c>
      <c r="I46" s="28" t="e">
        <f t="shared" si="8"/>
        <v>#VALUE!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 t="e">
        <f t="shared" si="7"/>
        <v>#VALUE!</v>
      </c>
      <c r="H47" s="27" t="e">
        <f>F4/SUM(J41:J55)</f>
        <v>#VALUE!</v>
      </c>
      <c r="I47" s="28" t="e">
        <f t="shared" si="8"/>
        <v>#VALUE!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12</v>
      </c>
      <c r="E48" s="25">
        <f t="shared" si="5"/>
        <v>12</v>
      </c>
      <c r="F48" s="23" t="str">
        <f t="shared" si="6"/>
        <v>RICARDO</v>
      </c>
      <c r="G48" s="26" t="e">
        <f t="shared" si="7"/>
        <v>#VALUE!</v>
      </c>
      <c r="H48" s="27" t="e">
        <f>F4/SUM(J41:J55)</f>
        <v>#VALUE!</v>
      </c>
      <c r="I48" s="28" t="e">
        <f t="shared" si="8"/>
        <v>#VALUE!</v>
      </c>
      <c r="J48" s="24">
        <f t="shared" si="9"/>
        <v>12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 t="e">
        <f t="shared" si="7"/>
        <v>#VALUE!</v>
      </c>
      <c r="H49" s="27" t="e">
        <f>F4/SUM(J41:J55)</f>
        <v>#VALUE!</v>
      </c>
      <c r="I49" s="28" t="e">
        <f t="shared" si="8"/>
        <v>#VALUE!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36</v>
      </c>
      <c r="E50" s="25">
        <f t="shared" si="5"/>
        <v>0</v>
      </c>
      <c r="F50" s="23" t="str">
        <f t="shared" si="6"/>
        <v>ENRIQUE</v>
      </c>
      <c r="G50" s="26" t="e">
        <f t="shared" si="7"/>
        <v>#VALUE!</v>
      </c>
      <c r="H50" s="27" t="e">
        <f>F4/SUM(J41:J55)</f>
        <v>#VALUE!</v>
      </c>
      <c r="I50" s="28" t="e">
        <f t="shared" si="8"/>
        <v>#VALUE!</v>
      </c>
      <c r="J50" s="24">
        <f t="shared" si="9"/>
        <v>0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 t="e">
        <f>(B14*B33*B21)+(B14*C33*C21)+(B14*D33*D21)+(B14*E33*E21)+(B14*F33*F21)+(B14*G33*G21)+(B14*H33*H21)+(B14*I33*I21)+(B14*J33*J21)+(B14*K33*K21)+(B14*L33*L21)+(B14*M33*M21)+(N33*N21*B14)</f>
        <v>#VALUE!</v>
      </c>
      <c r="E51" s="25" t="e">
        <f t="shared" si="5"/>
        <v>#VALUE!</v>
      </c>
      <c r="F51" s="23" t="str">
        <f t="shared" si="6"/>
        <v>OBETH</v>
      </c>
      <c r="G51" s="26" t="e">
        <f t="shared" si="7"/>
        <v>#VALUE!</v>
      </c>
      <c r="H51" s="27" t="e">
        <f>F4/SUM(J41:J55)</f>
        <v>#VALUE!</v>
      </c>
      <c r="I51" s="28" t="e">
        <f t="shared" si="8"/>
        <v>#VALUE!</v>
      </c>
      <c r="J51" s="24" t="e">
        <f t="shared" si="9"/>
        <v>#VALUE!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30</v>
      </c>
      <c r="E52" s="25">
        <f t="shared" si="5"/>
        <v>6</v>
      </c>
      <c r="F52" s="23" t="str">
        <f t="shared" si="6"/>
        <v>FRANCISCO</v>
      </c>
      <c r="G52" s="26" t="e">
        <f t="shared" si="7"/>
        <v>#VALUE!</v>
      </c>
      <c r="H52" s="27" t="e">
        <f>F4/SUM(J41:J55)</f>
        <v>#VALUE!</v>
      </c>
      <c r="I52" s="28" t="e">
        <f t="shared" si="8"/>
        <v>#VALUE!</v>
      </c>
      <c r="J52" s="24">
        <f t="shared" si="9"/>
        <v>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 t="e">
        <f t="shared" si="7"/>
        <v>#VALUE!</v>
      </c>
      <c r="H53" s="27" t="e">
        <f>F4/SUM(J41:J55)</f>
        <v>#VALUE!</v>
      </c>
      <c r="I53" s="28" t="e">
        <f t="shared" si="8"/>
        <v>#VALUE!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 t="e">
        <f t="shared" si="7"/>
        <v>#VALUE!</v>
      </c>
      <c r="H54" s="27" t="e">
        <f>F4/SUM(J41:J55)</f>
        <v>#VALUE!</v>
      </c>
      <c r="I54" s="28" t="e">
        <f t="shared" si="8"/>
        <v>#VALUE!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 t="e">
        <f t="shared" si="7"/>
        <v>#VALUE!</v>
      </c>
      <c r="H55" s="27" t="e">
        <f>F4/SUM(J41:J55)</f>
        <v>#VALUE!</v>
      </c>
      <c r="I55" s="28" t="e">
        <f t="shared" si="8"/>
        <v>#VALUE!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35</v>
      </c>
      <c r="E4" s="1"/>
      <c r="F4" s="7">
        <v>400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26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35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8</v>
      </c>
      <c r="C7" s="5" t="s">
        <v>54</v>
      </c>
      <c r="D7" s="6">
        <f t="shared" si="0"/>
        <v>35</v>
      </c>
      <c r="E7" s="1"/>
      <c r="F7" s="42" t="s">
        <v>48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49</v>
      </c>
      <c r="D8" s="6">
        <f t="shared" si="0"/>
        <v>35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4</v>
      </c>
      <c r="C9" s="5" t="s">
        <v>55</v>
      </c>
      <c r="D9" s="6">
        <f t="shared" si="0"/>
        <v>35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51</v>
      </c>
      <c r="D10" s="6">
        <f t="shared" si="0"/>
        <v>70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6</v>
      </c>
      <c r="C11" s="5" t="s">
        <v>41</v>
      </c>
      <c r="D11" s="6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6</v>
      </c>
      <c r="C12" s="5" t="s">
        <v>47</v>
      </c>
      <c r="D12" s="6">
        <f t="shared" si="0"/>
        <v>52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40</v>
      </c>
      <c r="D13" s="6">
        <f t="shared" si="0"/>
        <v>26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45</v>
      </c>
      <c r="D14" s="6">
        <f t="shared" si="0"/>
        <v>52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/>
      <c r="C15" s="5"/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401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>
        <v>1</v>
      </c>
      <c r="K23" s="11"/>
      <c r="L23" s="11"/>
      <c r="M23" s="11"/>
      <c r="N23" s="11"/>
      <c r="O23" s="16">
        <f t="shared" ref="O23:O37" si="2">D41</f>
        <v>24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>
        <v>1</v>
      </c>
      <c r="K24" s="11"/>
      <c r="L24" s="11"/>
      <c r="M24" s="11"/>
      <c r="N24" s="11"/>
      <c r="O24" s="16">
        <f t="shared" si="2"/>
        <v>18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>
        <v>1</v>
      </c>
      <c r="K25" s="11"/>
      <c r="L25" s="11"/>
      <c r="M25" s="11"/>
      <c r="N25" s="11"/>
      <c r="O25" s="16">
        <f t="shared" si="2"/>
        <v>24</v>
      </c>
      <c r="P25" s="17" t="s">
        <v>30</v>
      </c>
      <c r="Q25" s="1"/>
    </row>
    <row r="26" spans="1:17" ht="15.75" customHeight="1" x14ac:dyDescent="0.25">
      <c r="A26" s="15" t="str">
        <f t="shared" si="1"/>
        <v>luis</v>
      </c>
      <c r="B26" s="11"/>
      <c r="C26" s="11"/>
      <c r="D26" s="11"/>
      <c r="E26" s="11"/>
      <c r="F26" s="11"/>
      <c r="G26" s="11"/>
      <c r="H26" s="11"/>
      <c r="I26" s="11"/>
      <c r="J26" s="11">
        <v>1</v>
      </c>
      <c r="K26" s="11"/>
      <c r="L26" s="11"/>
      <c r="M26" s="11"/>
      <c r="N26" s="11"/>
      <c r="O26" s="16">
        <f t="shared" si="2"/>
        <v>24</v>
      </c>
      <c r="P26" s="17" t="s">
        <v>30</v>
      </c>
      <c r="Q26" s="1"/>
    </row>
    <row r="27" spans="1:17" ht="15.75" customHeight="1" x14ac:dyDescent="0.25">
      <c r="A27" s="15" t="str">
        <f t="shared" si="1"/>
        <v xml:space="preserve">JAVIER </v>
      </c>
      <c r="B27" s="11"/>
      <c r="C27" s="11"/>
      <c r="D27" s="11"/>
      <c r="E27" s="11"/>
      <c r="F27" s="11"/>
      <c r="G27" s="11"/>
      <c r="H27" s="11"/>
      <c r="I27" s="11"/>
      <c r="J27" s="11">
        <v>1</v>
      </c>
      <c r="K27" s="11"/>
      <c r="L27" s="11"/>
      <c r="M27" s="11"/>
      <c r="N27" s="11"/>
      <c r="O27" s="16">
        <f t="shared" si="2"/>
        <v>24</v>
      </c>
      <c r="P27" s="17" t="s">
        <v>30</v>
      </c>
      <c r="Q27" s="1"/>
    </row>
    <row r="28" spans="1:17" ht="15.75" customHeight="1" x14ac:dyDescent="0.25">
      <c r="A28" s="15" t="str">
        <f t="shared" si="1"/>
        <v xml:space="preserve">RICRADO 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 xml:space="preserve">NAYELI 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 xml:space="preserve">FRANCISCO </v>
      </c>
      <c r="B30" s="18"/>
      <c r="C30" s="18"/>
      <c r="D30" s="18">
        <v>6</v>
      </c>
      <c r="E30" s="18"/>
      <c r="F30" s="18"/>
      <c r="G30" s="18"/>
      <c r="H30" s="18"/>
      <c r="I30" s="18"/>
      <c r="J30" s="18">
        <v>1</v>
      </c>
      <c r="K30" s="18"/>
      <c r="L30" s="18"/>
      <c r="M30" s="11"/>
      <c r="N30" s="18"/>
      <c r="O30" s="16">
        <f t="shared" si="2"/>
        <v>54</v>
      </c>
      <c r="P30" s="17" t="s">
        <v>30</v>
      </c>
      <c r="Q30" s="1"/>
    </row>
    <row r="31" spans="1:17" ht="15.75" customHeight="1" x14ac:dyDescent="0.25">
      <c r="A31" s="15" t="str">
        <f t="shared" si="1"/>
        <v xml:space="preserve">PORFIRIO 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 xml:space="preserve">PAULINA </v>
      </c>
      <c r="B32" s="19"/>
      <c r="C32" s="19"/>
      <c r="D32" s="19"/>
      <c r="E32" s="19"/>
      <c r="F32" s="19"/>
      <c r="G32" s="19"/>
      <c r="H32" s="19"/>
      <c r="I32" s="20"/>
      <c r="J32" s="19">
        <v>1</v>
      </c>
      <c r="K32" s="19"/>
      <c r="L32" s="19"/>
      <c r="M32" s="19"/>
      <c r="N32" s="19"/>
      <c r="O32" s="16">
        <f t="shared" si="2"/>
        <v>18</v>
      </c>
      <c r="P32" s="17" t="s">
        <v>30</v>
      </c>
      <c r="Q32" s="1"/>
    </row>
    <row r="33" spans="1:17" ht="15.75" customHeight="1" x14ac:dyDescent="0.25">
      <c r="A33" s="15" t="str">
        <f t="shared" si="1"/>
        <v>KEVIN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>
        <f t="shared" si="1"/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24</v>
      </c>
      <c r="E41" s="25">
        <f t="shared" ref="E41:E55" si="5">C41-D41</f>
        <v>24</v>
      </c>
      <c r="F41" s="23" t="str">
        <f t="shared" ref="F41:F55" si="6">C4</f>
        <v>IVETH</v>
      </c>
      <c r="G41" s="26">
        <f t="shared" ref="G41:G55" si="7">H41*E41</f>
        <v>34.782608695652172</v>
      </c>
      <c r="H41" s="27">
        <f>F4/SUM(J41:J55)</f>
        <v>1.4492753623188406</v>
      </c>
      <c r="I41" s="28">
        <f t="shared" ref="I41:I55" si="8">IF(G41&lt;0,0,G41)</f>
        <v>34.782608695652172</v>
      </c>
      <c r="J41" s="24">
        <f t="shared" ref="J41:J55" si="9">IF(E41&lt;0,0,E41)</f>
        <v>24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18</v>
      </c>
      <c r="E42" s="25">
        <f t="shared" si="5"/>
        <v>18</v>
      </c>
      <c r="F42" s="23" t="str">
        <f t="shared" si="6"/>
        <v>EDMUNDO</v>
      </c>
      <c r="G42" s="26">
        <f t="shared" si="7"/>
        <v>26.086956521739129</v>
      </c>
      <c r="H42" s="27">
        <f>F4/SUM(J41:J55)</f>
        <v>1.4492753623188406</v>
      </c>
      <c r="I42" s="28">
        <f t="shared" si="8"/>
        <v>26.086956521739129</v>
      </c>
      <c r="J42" s="24">
        <f t="shared" si="9"/>
        <v>18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24</v>
      </c>
      <c r="E43" s="25">
        <f t="shared" si="5"/>
        <v>24</v>
      </c>
      <c r="F43" s="23" t="str">
        <f t="shared" si="6"/>
        <v>MARGOT</v>
      </c>
      <c r="G43" s="26">
        <f t="shared" si="7"/>
        <v>34.782608695652172</v>
      </c>
      <c r="H43" s="27">
        <f>F4/SUM(J41:J55)</f>
        <v>1.4492753623188406</v>
      </c>
      <c r="I43" s="28">
        <f t="shared" si="8"/>
        <v>34.782608695652172</v>
      </c>
      <c r="J43" s="24">
        <f t="shared" si="9"/>
        <v>24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8</v>
      </c>
      <c r="C44" s="25">
        <f t="shared" si="4"/>
        <v>48</v>
      </c>
      <c r="D44" s="25">
        <f>(B7*B26*B21)+(B7*C26*C21)+(B7*D26*D21)+(B7*E26*E21)+(B7*F26*F21)+(B7*G26*G21)+(B7*H26*H21)+(B7*I26*I21)+(B7*J26*J21)+(B7*K26*K21)+(B7*L26*L21)+(B7*M26*M21)+(B7*N26*N21)</f>
        <v>24</v>
      </c>
      <c r="E44" s="25">
        <f t="shared" si="5"/>
        <v>24</v>
      </c>
      <c r="F44" s="23" t="str">
        <f t="shared" si="6"/>
        <v>luis</v>
      </c>
      <c r="G44" s="26">
        <f t="shared" si="7"/>
        <v>34.782608695652172</v>
      </c>
      <c r="H44" s="27">
        <f>F4/SUM(J41:J55)</f>
        <v>1.4492753623188406</v>
      </c>
      <c r="I44" s="28">
        <f t="shared" si="8"/>
        <v>34.782608695652172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24</v>
      </c>
      <c r="E45" s="25">
        <f t="shared" si="5"/>
        <v>24</v>
      </c>
      <c r="F45" s="23" t="str">
        <f t="shared" si="6"/>
        <v xml:space="preserve">JAVIER </v>
      </c>
      <c r="G45" s="26">
        <f t="shared" si="7"/>
        <v>34.782608695652172</v>
      </c>
      <c r="H45" s="27">
        <f>F4/SUM(J41:J55)</f>
        <v>1.4492753623188406</v>
      </c>
      <c r="I45" s="28">
        <f t="shared" si="8"/>
        <v>34.782608695652172</v>
      </c>
      <c r="J45" s="24">
        <f t="shared" si="9"/>
        <v>24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4</v>
      </c>
      <c r="C46" s="25">
        <f t="shared" si="4"/>
        <v>24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24</v>
      </c>
      <c r="F46" s="23" t="str">
        <f t="shared" si="6"/>
        <v xml:space="preserve">RICRADO </v>
      </c>
      <c r="G46" s="26">
        <f t="shared" si="7"/>
        <v>34.782608695652172</v>
      </c>
      <c r="H46" s="27">
        <f>F4/SUM(J41:J55)</f>
        <v>1.4492753623188406</v>
      </c>
      <c r="I46" s="28">
        <f t="shared" si="8"/>
        <v>34.782608695652172</v>
      </c>
      <c r="J46" s="24">
        <f t="shared" si="9"/>
        <v>24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 xml:space="preserve">NAYELI </v>
      </c>
      <c r="G47" s="26">
        <f t="shared" si="7"/>
        <v>69.565217391304344</v>
      </c>
      <c r="H47" s="27">
        <f>F4/SUM(J41:J55)</f>
        <v>1.4492753623188406</v>
      </c>
      <c r="I47" s="28">
        <f t="shared" si="8"/>
        <v>69.565217391304344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6</v>
      </c>
      <c r="C48" s="25">
        <f t="shared" si="4"/>
        <v>36</v>
      </c>
      <c r="D48" s="25">
        <f>(B11*B30*B21)+(B11*C30*C21)+(B11*D30*D21)+(B11*E30*E21)+(B11*F21*F30)+(B11*G30*G21)+(B11*H30*H21)+(B11*I30*I21)+(B11*J30*J21)+(B11*K30*K21)+(B11*L30*L21)+(B11*M30*M21)+(N30*N21*B11)</f>
        <v>54</v>
      </c>
      <c r="E48" s="25">
        <f t="shared" si="5"/>
        <v>-18</v>
      </c>
      <c r="F48" s="23" t="str">
        <f t="shared" si="6"/>
        <v xml:space="preserve">FRANCISCO </v>
      </c>
      <c r="G48" s="26">
        <f t="shared" si="7"/>
        <v>-26.086956521739129</v>
      </c>
      <c r="H48" s="27">
        <f>F4/SUM(J41:J55)</f>
        <v>1.4492753623188406</v>
      </c>
      <c r="I48" s="28">
        <f t="shared" si="8"/>
        <v>0</v>
      </c>
      <c r="J48" s="24">
        <f t="shared" si="9"/>
        <v>0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6</v>
      </c>
      <c r="C49" s="25">
        <f t="shared" si="4"/>
        <v>36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36</v>
      </c>
      <c r="F49" s="23" t="str">
        <f t="shared" si="6"/>
        <v xml:space="preserve">PORFIRIO </v>
      </c>
      <c r="G49" s="26">
        <f t="shared" si="7"/>
        <v>52.173913043478258</v>
      </c>
      <c r="H49" s="27">
        <f>F4/SUM(J41:J55)</f>
        <v>1.4492753623188406</v>
      </c>
      <c r="I49" s="28">
        <f t="shared" si="8"/>
        <v>52.173913043478258</v>
      </c>
      <c r="J49" s="24">
        <f t="shared" si="9"/>
        <v>36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18</v>
      </c>
      <c r="E50" s="25">
        <f t="shared" si="5"/>
        <v>18</v>
      </c>
      <c r="F50" s="23" t="str">
        <f t="shared" si="6"/>
        <v xml:space="preserve">PAULINA </v>
      </c>
      <c r="G50" s="26">
        <f t="shared" si="7"/>
        <v>26.086956521739129</v>
      </c>
      <c r="H50" s="27">
        <f>F4/SUM(J41:J55)</f>
        <v>1.4492753623188406</v>
      </c>
      <c r="I50" s="28">
        <f t="shared" si="8"/>
        <v>26.086956521739129</v>
      </c>
      <c r="J50" s="24">
        <f t="shared" si="9"/>
        <v>18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KEVIN</v>
      </c>
      <c r="G51" s="26">
        <f t="shared" si="7"/>
        <v>52.173913043478258</v>
      </c>
      <c r="H51" s="27">
        <f>F4/SUM(J41:J55)</f>
        <v>1.4492753623188406</v>
      </c>
      <c r="I51" s="28">
        <f t="shared" si="8"/>
        <v>52.173913043478258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0</v>
      </c>
      <c r="C52" s="25">
        <f t="shared" si="4"/>
        <v>0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0</v>
      </c>
      <c r="F52" s="23">
        <f t="shared" si="6"/>
        <v>0</v>
      </c>
      <c r="G52" s="26">
        <f t="shared" si="7"/>
        <v>0</v>
      </c>
      <c r="H52" s="27">
        <f>F4/SUM(J41:J55)</f>
        <v>1.4492753623188406</v>
      </c>
      <c r="I52" s="28">
        <f t="shared" si="8"/>
        <v>0</v>
      </c>
      <c r="J52" s="24">
        <f t="shared" si="9"/>
        <v>0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1.4492753623188406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1.4492753623188406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1.4492753623188406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29" t="s">
        <v>56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60</v>
      </c>
      <c r="E4" s="1"/>
      <c r="F4" s="7">
        <v>600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45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60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8</v>
      </c>
      <c r="C7" s="5" t="s">
        <v>8</v>
      </c>
      <c r="D7" s="6">
        <f t="shared" si="0"/>
        <v>60</v>
      </c>
      <c r="E7" s="1"/>
      <c r="F7" s="42" t="s">
        <v>48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10</v>
      </c>
      <c r="D8" s="6">
        <f t="shared" si="0"/>
        <v>60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4</v>
      </c>
      <c r="C9" s="5" t="s">
        <v>11</v>
      </c>
      <c r="D9" s="6">
        <f t="shared" si="0"/>
        <v>30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12</v>
      </c>
      <c r="D10" s="6">
        <f t="shared" si="0"/>
        <v>60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6</v>
      </c>
      <c r="C11" s="5" t="s">
        <v>15</v>
      </c>
      <c r="D11" s="6">
        <f t="shared" si="0"/>
        <v>45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6</v>
      </c>
      <c r="C12" s="5" t="s">
        <v>37</v>
      </c>
      <c r="D12" s="6">
        <f t="shared" si="0"/>
        <v>45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43</v>
      </c>
      <c r="D13" s="6">
        <f t="shared" si="0"/>
        <v>45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45</v>
      </c>
      <c r="D14" s="6">
        <f t="shared" si="0"/>
        <v>45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45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600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LUIS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JAVIER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RICARDO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NAYELI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FRANCISCO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PORFIRIO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PAULINA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KEVIN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60</v>
      </c>
      <c r="H41" s="27">
        <f>F4/SUM(J41:J55)</f>
        <v>1.25</v>
      </c>
      <c r="I41" s="28">
        <f t="shared" ref="I41:I55" si="8">IF(G41&lt;0,0,G41)</f>
        <v>60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45</v>
      </c>
      <c r="H42" s="27">
        <f>F4/SUM(J41:J55)</f>
        <v>1.25</v>
      </c>
      <c r="I42" s="28">
        <f t="shared" si="8"/>
        <v>45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60</v>
      </c>
      <c r="H43" s="27">
        <f>F4/SUM(J41:J55)</f>
        <v>1.25</v>
      </c>
      <c r="I43" s="28">
        <f t="shared" si="8"/>
        <v>60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8</v>
      </c>
      <c r="C44" s="25">
        <f t="shared" si="4"/>
        <v>48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48</v>
      </c>
      <c r="F44" s="23" t="str">
        <f t="shared" si="6"/>
        <v>LUIS</v>
      </c>
      <c r="G44" s="26">
        <f t="shared" si="7"/>
        <v>60</v>
      </c>
      <c r="H44" s="27">
        <f>F4/SUM(J41:J55)</f>
        <v>1.25</v>
      </c>
      <c r="I44" s="28">
        <f t="shared" si="8"/>
        <v>60</v>
      </c>
      <c r="J44" s="24">
        <f t="shared" si="9"/>
        <v>48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JAVIER</v>
      </c>
      <c r="G45" s="26">
        <f t="shared" si="7"/>
        <v>60</v>
      </c>
      <c r="H45" s="27">
        <f>F4/SUM(J41:J55)</f>
        <v>1.25</v>
      </c>
      <c r="I45" s="28">
        <f t="shared" si="8"/>
        <v>60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4</v>
      </c>
      <c r="C46" s="25">
        <f t="shared" si="4"/>
        <v>24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24</v>
      </c>
      <c r="F46" s="23" t="str">
        <f t="shared" si="6"/>
        <v>RICARDO</v>
      </c>
      <c r="G46" s="26">
        <f t="shared" si="7"/>
        <v>30</v>
      </c>
      <c r="H46" s="27">
        <f>F4/SUM(J41:J55)</f>
        <v>1.25</v>
      </c>
      <c r="I46" s="28">
        <f t="shared" si="8"/>
        <v>30</v>
      </c>
      <c r="J46" s="24">
        <f t="shared" si="9"/>
        <v>24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NAYELI</v>
      </c>
      <c r="G47" s="26">
        <f t="shared" si="7"/>
        <v>60</v>
      </c>
      <c r="H47" s="27">
        <f>F4/SUM(J41:J55)</f>
        <v>1.25</v>
      </c>
      <c r="I47" s="28">
        <f t="shared" si="8"/>
        <v>60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6</v>
      </c>
      <c r="C48" s="25">
        <f t="shared" si="4"/>
        <v>36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36</v>
      </c>
      <c r="F48" s="23" t="str">
        <f t="shared" si="6"/>
        <v>FRANCISCO</v>
      </c>
      <c r="G48" s="26">
        <f t="shared" si="7"/>
        <v>45</v>
      </c>
      <c r="H48" s="27">
        <f>F4/SUM(J41:J55)</f>
        <v>1.25</v>
      </c>
      <c r="I48" s="28">
        <f t="shared" si="8"/>
        <v>45</v>
      </c>
      <c r="J48" s="24">
        <f t="shared" si="9"/>
        <v>36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6</v>
      </c>
      <c r="C49" s="25">
        <f t="shared" si="4"/>
        <v>36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36</v>
      </c>
      <c r="F49" s="23" t="str">
        <f t="shared" si="6"/>
        <v>PORFIRIO</v>
      </c>
      <c r="G49" s="26">
        <f t="shared" si="7"/>
        <v>45</v>
      </c>
      <c r="H49" s="27">
        <f>F4/SUM(J41:J55)</f>
        <v>1.25</v>
      </c>
      <c r="I49" s="28">
        <f t="shared" si="8"/>
        <v>45</v>
      </c>
      <c r="J49" s="24">
        <f t="shared" si="9"/>
        <v>36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PAULINA</v>
      </c>
      <c r="G50" s="26">
        <f t="shared" si="7"/>
        <v>45</v>
      </c>
      <c r="H50" s="27">
        <f>F4/SUM(J41:J55)</f>
        <v>1.25</v>
      </c>
      <c r="I50" s="28">
        <f t="shared" si="8"/>
        <v>45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KEVIN</v>
      </c>
      <c r="G51" s="26">
        <f t="shared" si="7"/>
        <v>45</v>
      </c>
      <c r="H51" s="27">
        <f>F4/SUM(J41:J55)</f>
        <v>1.25</v>
      </c>
      <c r="I51" s="28">
        <f t="shared" si="8"/>
        <v>45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45</v>
      </c>
      <c r="H52" s="27">
        <f>F4/SUM(J41:J55)</f>
        <v>1.25</v>
      </c>
      <c r="I52" s="28">
        <f t="shared" si="8"/>
        <v>45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1.25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1.25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1.25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138</v>
      </c>
      <c r="E4" s="1"/>
      <c r="F4" s="7">
        <v>1280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104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138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8</v>
      </c>
      <c r="C7" s="5" t="s">
        <v>8</v>
      </c>
      <c r="D7" s="6">
        <f t="shared" si="0"/>
        <v>138</v>
      </c>
      <c r="E7" s="1"/>
      <c r="F7" s="42" t="s">
        <v>38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10</v>
      </c>
      <c r="D8" s="6">
        <f t="shared" si="0"/>
        <v>138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4</v>
      </c>
      <c r="C9" s="5" t="s">
        <v>11</v>
      </c>
      <c r="D9" s="6">
        <f t="shared" si="0"/>
        <v>69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12</v>
      </c>
      <c r="D10" s="6">
        <f t="shared" si="0"/>
        <v>138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6</v>
      </c>
      <c r="C11" s="5" t="s">
        <v>15</v>
      </c>
      <c r="D11" s="6">
        <f t="shared" si="0"/>
        <v>104</v>
      </c>
      <c r="E11" s="1"/>
      <c r="F11" s="1" t="s">
        <v>57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6</v>
      </c>
      <c r="C12" s="5" t="s">
        <v>37</v>
      </c>
      <c r="D12" s="6">
        <f t="shared" si="0"/>
        <v>104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43</v>
      </c>
      <c r="D13" s="6">
        <f t="shared" si="0"/>
        <v>104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45</v>
      </c>
      <c r="D14" s="6">
        <f t="shared" si="0"/>
        <v>104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/>
      <c r="C15" s="5"/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1279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LUIS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JAVIER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RICARDO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NAYELI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FRANCISCO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PORFIRIO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PAULINA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KEVIN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>
        <f t="shared" si="1"/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138.37837837837839</v>
      </c>
      <c r="H41" s="27">
        <f>F4/SUM(J41:J55)</f>
        <v>2.8828828828828827</v>
      </c>
      <c r="I41" s="28">
        <f t="shared" ref="I41:I55" si="8">IF(G41&lt;0,0,G41)</f>
        <v>138.37837837837839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103.78378378378378</v>
      </c>
      <c r="H42" s="27">
        <f>F4/SUM(J41:J55)</f>
        <v>2.8828828828828827</v>
      </c>
      <c r="I42" s="28">
        <f t="shared" si="8"/>
        <v>103.78378378378378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138.37837837837839</v>
      </c>
      <c r="H43" s="27">
        <f>F4/SUM(J41:J55)</f>
        <v>2.8828828828828827</v>
      </c>
      <c r="I43" s="28">
        <f t="shared" si="8"/>
        <v>138.37837837837839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8</v>
      </c>
      <c r="C44" s="25">
        <f t="shared" si="4"/>
        <v>48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48</v>
      </c>
      <c r="F44" s="23" t="str">
        <f t="shared" si="6"/>
        <v>LUIS</v>
      </c>
      <c r="G44" s="26">
        <f t="shared" si="7"/>
        <v>138.37837837837839</v>
      </c>
      <c r="H44" s="27">
        <f>F4/SUM(J41:J55)</f>
        <v>2.8828828828828827</v>
      </c>
      <c r="I44" s="28">
        <f t="shared" si="8"/>
        <v>138.37837837837839</v>
      </c>
      <c r="J44" s="24">
        <f t="shared" si="9"/>
        <v>48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JAVIER</v>
      </c>
      <c r="G45" s="26">
        <f t="shared" si="7"/>
        <v>138.37837837837839</v>
      </c>
      <c r="H45" s="27">
        <f>F4/SUM(J41:J55)</f>
        <v>2.8828828828828827</v>
      </c>
      <c r="I45" s="28">
        <f t="shared" si="8"/>
        <v>138.37837837837839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4</v>
      </c>
      <c r="C46" s="25">
        <f t="shared" si="4"/>
        <v>24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24</v>
      </c>
      <c r="F46" s="23" t="str">
        <f t="shared" si="6"/>
        <v>RICARDO</v>
      </c>
      <c r="G46" s="26">
        <f t="shared" si="7"/>
        <v>69.189189189189193</v>
      </c>
      <c r="H46" s="27">
        <f>F4/SUM(J41:J55)</f>
        <v>2.8828828828828827</v>
      </c>
      <c r="I46" s="28">
        <f t="shared" si="8"/>
        <v>69.189189189189193</v>
      </c>
      <c r="J46" s="24">
        <f t="shared" si="9"/>
        <v>24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NAYELI</v>
      </c>
      <c r="G47" s="26">
        <f t="shared" si="7"/>
        <v>138.37837837837839</v>
      </c>
      <c r="H47" s="27">
        <f>F4/SUM(J41:J55)</f>
        <v>2.8828828828828827</v>
      </c>
      <c r="I47" s="28">
        <f t="shared" si="8"/>
        <v>138.37837837837839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6</v>
      </c>
      <c r="C48" s="25">
        <f t="shared" si="4"/>
        <v>36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36</v>
      </c>
      <c r="F48" s="23" t="str">
        <f t="shared" si="6"/>
        <v>FRANCISCO</v>
      </c>
      <c r="G48" s="26">
        <f t="shared" si="7"/>
        <v>103.78378378378378</v>
      </c>
      <c r="H48" s="27">
        <f>F4/SUM(J41:J55)</f>
        <v>2.8828828828828827</v>
      </c>
      <c r="I48" s="28">
        <f t="shared" si="8"/>
        <v>103.78378378378378</v>
      </c>
      <c r="J48" s="24">
        <f t="shared" si="9"/>
        <v>36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6</v>
      </c>
      <c r="C49" s="25">
        <f t="shared" si="4"/>
        <v>36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36</v>
      </c>
      <c r="F49" s="23" t="str">
        <f t="shared" si="6"/>
        <v>PORFIRIO</v>
      </c>
      <c r="G49" s="26">
        <f t="shared" si="7"/>
        <v>103.78378378378378</v>
      </c>
      <c r="H49" s="27">
        <f>F4/SUM(J41:J55)</f>
        <v>2.8828828828828827</v>
      </c>
      <c r="I49" s="28">
        <f t="shared" si="8"/>
        <v>103.78378378378378</v>
      </c>
      <c r="J49" s="24">
        <f t="shared" si="9"/>
        <v>36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PAULINA</v>
      </c>
      <c r="G50" s="26">
        <f t="shared" si="7"/>
        <v>103.78378378378378</v>
      </c>
      <c r="H50" s="27">
        <f>F4/SUM(J41:J55)</f>
        <v>2.8828828828828827</v>
      </c>
      <c r="I50" s="28">
        <f t="shared" si="8"/>
        <v>103.78378378378378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KEVIN</v>
      </c>
      <c r="G51" s="26">
        <f t="shared" si="7"/>
        <v>103.78378378378378</v>
      </c>
      <c r="H51" s="27">
        <f>F4/SUM(J41:J55)</f>
        <v>2.8828828828828827</v>
      </c>
      <c r="I51" s="28">
        <f t="shared" si="8"/>
        <v>103.78378378378378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0</v>
      </c>
      <c r="C52" s="25">
        <f t="shared" si="4"/>
        <v>0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0</v>
      </c>
      <c r="F52" s="23">
        <f t="shared" si="6"/>
        <v>0</v>
      </c>
      <c r="G52" s="26">
        <f t="shared" si="7"/>
        <v>0</v>
      </c>
      <c r="H52" s="27">
        <f>F4/SUM(J41:J55)</f>
        <v>2.8828828828828827</v>
      </c>
      <c r="I52" s="28">
        <f t="shared" si="8"/>
        <v>0</v>
      </c>
      <c r="J52" s="24">
        <f t="shared" si="9"/>
        <v>0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2.8828828828828827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2.8828828828828827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2.8828828828828827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31</v>
      </c>
      <c r="E4" s="1"/>
      <c r="F4" s="7">
        <v>450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23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31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6</v>
      </c>
      <c r="C7" s="5" t="s">
        <v>8</v>
      </c>
      <c r="D7" s="6">
        <f t="shared" si="0"/>
        <v>23</v>
      </c>
      <c r="E7" s="1"/>
      <c r="F7" s="42" t="s">
        <v>58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10</v>
      </c>
      <c r="D8" s="6">
        <f t="shared" si="0"/>
        <v>62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4</v>
      </c>
      <c r="C9" s="5" t="s">
        <v>11</v>
      </c>
      <c r="D9" s="6">
        <f t="shared" si="0"/>
        <v>31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12</v>
      </c>
      <c r="D10" s="6">
        <f t="shared" si="0"/>
        <v>62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6</v>
      </c>
      <c r="C11" s="5" t="s">
        <v>15</v>
      </c>
      <c r="D11" s="6">
        <f t="shared" si="0"/>
        <v>47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6</v>
      </c>
      <c r="C12" s="5" t="s">
        <v>37</v>
      </c>
      <c r="D12" s="6">
        <f t="shared" si="0"/>
        <v>47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43</v>
      </c>
      <c r="D13" s="6">
        <f t="shared" si="0"/>
        <v>47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45</v>
      </c>
      <c r="D14" s="6">
        <f t="shared" si="0"/>
        <v>47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/>
      <c r="C15" s="5"/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451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>
        <v>1</v>
      </c>
      <c r="K23" s="11"/>
      <c r="L23" s="11"/>
      <c r="M23" s="11"/>
      <c r="N23" s="11"/>
      <c r="O23" s="16">
        <f t="shared" ref="O23:O37" si="2">D41</f>
        <v>24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>
        <v>1</v>
      </c>
      <c r="K24" s="11"/>
      <c r="L24" s="11"/>
      <c r="M24" s="11"/>
      <c r="N24" s="11"/>
      <c r="O24" s="16">
        <f t="shared" si="2"/>
        <v>18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>
        <v>1</v>
      </c>
      <c r="K25" s="11"/>
      <c r="L25" s="11"/>
      <c r="M25" s="11"/>
      <c r="N25" s="11"/>
      <c r="O25" s="16">
        <f t="shared" si="2"/>
        <v>24</v>
      </c>
      <c r="P25" s="17" t="s">
        <v>30</v>
      </c>
      <c r="Q25" s="1"/>
    </row>
    <row r="26" spans="1:17" ht="15.75" customHeight="1" x14ac:dyDescent="0.25">
      <c r="A26" s="15" t="str">
        <f t="shared" si="1"/>
        <v>LUIS</v>
      </c>
      <c r="B26" s="11"/>
      <c r="C26" s="11"/>
      <c r="D26" s="11"/>
      <c r="E26" s="11"/>
      <c r="F26" s="11"/>
      <c r="G26" s="11"/>
      <c r="H26" s="11"/>
      <c r="I26" s="11"/>
      <c r="J26" s="11">
        <v>1</v>
      </c>
      <c r="K26" s="11"/>
      <c r="L26" s="11"/>
      <c r="M26" s="11"/>
      <c r="N26" s="11"/>
      <c r="O26" s="16">
        <f t="shared" si="2"/>
        <v>18</v>
      </c>
      <c r="P26" s="17" t="s">
        <v>30</v>
      </c>
      <c r="Q26" s="1"/>
    </row>
    <row r="27" spans="1:17" ht="15.75" customHeight="1" x14ac:dyDescent="0.25">
      <c r="A27" s="15" t="str">
        <f t="shared" si="1"/>
        <v>JAVIER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RICARDO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NAYELI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FRANCISCO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PORFIRIO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PAULINA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KEVIN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>
        <f t="shared" si="1"/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24</v>
      </c>
      <c r="E41" s="25">
        <f t="shared" ref="E41:E55" si="5">C41-D41</f>
        <v>24</v>
      </c>
      <c r="F41" s="23" t="str">
        <f t="shared" ref="F41:F55" si="6">C4</f>
        <v>IVETH</v>
      </c>
      <c r="G41" s="26">
        <f t="shared" ref="G41:G55" si="7">H41*E41</f>
        <v>31.03448275862069</v>
      </c>
      <c r="H41" s="27">
        <f>F4/SUM(J41:J55)</f>
        <v>1.2931034482758621</v>
      </c>
      <c r="I41" s="28">
        <f t="shared" ref="I41:I55" si="8">IF(G41&lt;0,0,G41)</f>
        <v>31.03448275862069</v>
      </c>
      <c r="J41" s="24">
        <f t="shared" ref="J41:J55" si="9">IF(E41&lt;0,0,E41)</f>
        <v>24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18</v>
      </c>
      <c r="E42" s="25">
        <f t="shared" si="5"/>
        <v>18</v>
      </c>
      <c r="F42" s="23" t="str">
        <f t="shared" si="6"/>
        <v>EDMUNDO</v>
      </c>
      <c r="G42" s="26">
        <f t="shared" si="7"/>
        <v>23.275862068965516</v>
      </c>
      <c r="H42" s="27">
        <f>F4/SUM(J41:J55)</f>
        <v>1.2931034482758621</v>
      </c>
      <c r="I42" s="28">
        <f t="shared" si="8"/>
        <v>23.275862068965516</v>
      </c>
      <c r="J42" s="24">
        <f t="shared" si="9"/>
        <v>18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24</v>
      </c>
      <c r="E43" s="25">
        <f t="shared" si="5"/>
        <v>24</v>
      </c>
      <c r="F43" s="23" t="str">
        <f t="shared" si="6"/>
        <v>MARGOT</v>
      </c>
      <c r="G43" s="26">
        <f t="shared" si="7"/>
        <v>31.03448275862069</v>
      </c>
      <c r="H43" s="27">
        <f>F4/SUM(J41:J55)</f>
        <v>1.2931034482758621</v>
      </c>
      <c r="I43" s="28">
        <f t="shared" si="8"/>
        <v>31.03448275862069</v>
      </c>
      <c r="J43" s="24">
        <f t="shared" si="9"/>
        <v>24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6</v>
      </c>
      <c r="C44" s="25">
        <f t="shared" si="4"/>
        <v>36</v>
      </c>
      <c r="D44" s="25">
        <f>(B7*B26*B21)+(B7*C26*C21)+(B7*D26*D21)+(B7*E26*E21)+(B7*F26*F21)+(B7*G26*G21)+(B7*H26*H21)+(B7*I26*I21)+(B7*J26*J21)+(B7*K26*K21)+(B7*L26*L21)+(B7*M26*M21)+(B7*N26*N21)</f>
        <v>18</v>
      </c>
      <c r="E44" s="25">
        <f t="shared" si="5"/>
        <v>18</v>
      </c>
      <c r="F44" s="23" t="str">
        <f t="shared" si="6"/>
        <v>LUIS</v>
      </c>
      <c r="G44" s="26">
        <f t="shared" si="7"/>
        <v>23.275862068965516</v>
      </c>
      <c r="H44" s="27">
        <f>F4/SUM(J41:J55)</f>
        <v>1.2931034482758621</v>
      </c>
      <c r="I44" s="28">
        <f t="shared" si="8"/>
        <v>23.275862068965516</v>
      </c>
      <c r="J44" s="24">
        <f t="shared" si="9"/>
        <v>18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JAVIER</v>
      </c>
      <c r="G45" s="26">
        <f t="shared" si="7"/>
        <v>62.068965517241381</v>
      </c>
      <c r="H45" s="27">
        <f>F4/SUM(J41:J55)</f>
        <v>1.2931034482758621</v>
      </c>
      <c r="I45" s="28">
        <f t="shared" si="8"/>
        <v>62.068965517241381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4</v>
      </c>
      <c r="C46" s="25">
        <f t="shared" si="4"/>
        <v>24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24</v>
      </c>
      <c r="F46" s="23" t="str">
        <f t="shared" si="6"/>
        <v>RICARDO</v>
      </c>
      <c r="G46" s="26">
        <f t="shared" si="7"/>
        <v>31.03448275862069</v>
      </c>
      <c r="H46" s="27">
        <f>F4/SUM(J41:J55)</f>
        <v>1.2931034482758621</v>
      </c>
      <c r="I46" s="28">
        <f t="shared" si="8"/>
        <v>31.03448275862069</v>
      </c>
      <c r="J46" s="24">
        <f t="shared" si="9"/>
        <v>24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NAYELI</v>
      </c>
      <c r="G47" s="26">
        <f t="shared" si="7"/>
        <v>62.068965517241381</v>
      </c>
      <c r="H47" s="27">
        <f>F4/SUM(J41:J55)</f>
        <v>1.2931034482758621</v>
      </c>
      <c r="I47" s="28">
        <f t="shared" si="8"/>
        <v>62.068965517241381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6</v>
      </c>
      <c r="C48" s="25">
        <f t="shared" si="4"/>
        <v>36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36</v>
      </c>
      <c r="F48" s="23" t="str">
        <f t="shared" si="6"/>
        <v>FRANCISCO</v>
      </c>
      <c r="G48" s="26">
        <f t="shared" si="7"/>
        <v>46.551724137931032</v>
      </c>
      <c r="H48" s="27">
        <f>F4/SUM(J41:J55)</f>
        <v>1.2931034482758621</v>
      </c>
      <c r="I48" s="28">
        <f t="shared" si="8"/>
        <v>46.551724137931032</v>
      </c>
      <c r="J48" s="24">
        <f t="shared" si="9"/>
        <v>36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6</v>
      </c>
      <c r="C49" s="25">
        <f t="shared" si="4"/>
        <v>36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36</v>
      </c>
      <c r="F49" s="23" t="str">
        <f t="shared" si="6"/>
        <v>PORFIRIO</v>
      </c>
      <c r="G49" s="26">
        <f t="shared" si="7"/>
        <v>46.551724137931032</v>
      </c>
      <c r="H49" s="27">
        <f>F4/SUM(J41:J55)</f>
        <v>1.2931034482758621</v>
      </c>
      <c r="I49" s="28">
        <f t="shared" si="8"/>
        <v>46.551724137931032</v>
      </c>
      <c r="J49" s="24">
        <f t="shared" si="9"/>
        <v>36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PAULINA</v>
      </c>
      <c r="G50" s="26">
        <f t="shared" si="7"/>
        <v>46.551724137931032</v>
      </c>
      <c r="H50" s="27">
        <f>F4/SUM(J41:J55)</f>
        <v>1.2931034482758621</v>
      </c>
      <c r="I50" s="28">
        <f t="shared" si="8"/>
        <v>46.551724137931032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KEVIN</v>
      </c>
      <c r="G51" s="26">
        <f t="shared" si="7"/>
        <v>46.551724137931032</v>
      </c>
      <c r="H51" s="27">
        <f>F4/SUM(J41:J55)</f>
        <v>1.2931034482758621</v>
      </c>
      <c r="I51" s="28">
        <f t="shared" si="8"/>
        <v>46.551724137931032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0</v>
      </c>
      <c r="C52" s="25">
        <f t="shared" si="4"/>
        <v>0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0</v>
      </c>
      <c r="F52" s="23">
        <f t="shared" si="6"/>
        <v>0</v>
      </c>
      <c r="G52" s="26">
        <f t="shared" si="7"/>
        <v>0</v>
      </c>
      <c r="H52" s="27">
        <f>F4/SUM(J41:J55)</f>
        <v>1.2931034482758621</v>
      </c>
      <c r="I52" s="28">
        <f t="shared" si="8"/>
        <v>0</v>
      </c>
      <c r="J52" s="24">
        <f t="shared" si="9"/>
        <v>0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1.2931034482758621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1.2931034482758621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1.2931034482758621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69</v>
      </c>
      <c r="E4" s="1"/>
      <c r="F4" s="7">
        <v>840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103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8</v>
      </c>
      <c r="C7" s="5" t="s">
        <v>8</v>
      </c>
      <c r="D7" s="6">
        <f t="shared" si="0"/>
        <v>103</v>
      </c>
      <c r="E7" s="1"/>
      <c r="F7" s="42" t="s">
        <v>44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10</v>
      </c>
      <c r="D8" s="6">
        <f t="shared" si="0"/>
        <v>103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4</v>
      </c>
      <c r="C9" s="5" t="s">
        <v>11</v>
      </c>
      <c r="D9" s="6">
        <f t="shared" si="0"/>
        <v>51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12</v>
      </c>
      <c r="D10" s="6">
        <f t="shared" si="0"/>
        <v>103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6</v>
      </c>
      <c r="C11" s="5" t="s">
        <v>37</v>
      </c>
      <c r="D11" s="6">
        <f t="shared" si="0"/>
        <v>77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6</v>
      </c>
      <c r="C12" s="5" t="s">
        <v>43</v>
      </c>
      <c r="D12" s="6">
        <f t="shared" si="0"/>
        <v>77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45</v>
      </c>
      <c r="D13" s="6">
        <f t="shared" si="0"/>
        <v>77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/>
      <c r="C14" s="5"/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/>
      <c r="C15" s="5"/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840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>
        <v>2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16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LUIS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JAVIER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RICARDO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NAYELI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PORFIRIO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PAULINA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KEVIN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>
        <f t="shared" si="1"/>
        <v>0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>
        <f t="shared" si="1"/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16</v>
      </c>
      <c r="E41" s="25">
        <f t="shared" ref="E41:E55" si="5">C41-D41</f>
        <v>32</v>
      </c>
      <c r="F41" s="23" t="str">
        <f t="shared" ref="F41:F55" si="6">C4</f>
        <v>IVETH</v>
      </c>
      <c r="G41" s="26">
        <f t="shared" ref="G41:G55" si="7">H41*E41</f>
        <v>68.571428571428569</v>
      </c>
      <c r="H41" s="27">
        <f>F4/SUM(J41:J55)</f>
        <v>2.1428571428571428</v>
      </c>
      <c r="I41" s="28">
        <f t="shared" ref="I41:I55" si="8">IF(G41&lt;0,0,G41)</f>
        <v>68.571428571428569</v>
      </c>
      <c r="J41" s="24">
        <f t="shared" ref="J41:J55" si="9">IF(E41&lt;0,0,E41)</f>
        <v>32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77.142857142857139</v>
      </c>
      <c r="H42" s="27">
        <f>F4/SUM(J41:J55)</f>
        <v>2.1428571428571428</v>
      </c>
      <c r="I42" s="28">
        <f t="shared" si="8"/>
        <v>77.142857142857139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102.85714285714286</v>
      </c>
      <c r="H43" s="27">
        <f>F4/SUM(J41:J55)</f>
        <v>2.1428571428571428</v>
      </c>
      <c r="I43" s="28">
        <f t="shared" si="8"/>
        <v>102.85714285714286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8</v>
      </c>
      <c r="C44" s="25">
        <f t="shared" si="4"/>
        <v>48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48</v>
      </c>
      <c r="F44" s="23" t="str">
        <f t="shared" si="6"/>
        <v>LUIS</v>
      </c>
      <c r="G44" s="26">
        <f t="shared" si="7"/>
        <v>102.85714285714286</v>
      </c>
      <c r="H44" s="27">
        <f>F4/SUM(J41:J55)</f>
        <v>2.1428571428571428</v>
      </c>
      <c r="I44" s="28">
        <f t="shared" si="8"/>
        <v>102.85714285714286</v>
      </c>
      <c r="J44" s="24">
        <f t="shared" si="9"/>
        <v>48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JAVIER</v>
      </c>
      <c r="G45" s="26">
        <f t="shared" si="7"/>
        <v>102.85714285714286</v>
      </c>
      <c r="H45" s="27">
        <f>F4/SUM(J41:J55)</f>
        <v>2.1428571428571428</v>
      </c>
      <c r="I45" s="28">
        <f t="shared" si="8"/>
        <v>102.85714285714286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4</v>
      </c>
      <c r="C46" s="25">
        <f t="shared" si="4"/>
        <v>24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24</v>
      </c>
      <c r="F46" s="23" t="str">
        <f t="shared" si="6"/>
        <v>RICARDO</v>
      </c>
      <c r="G46" s="26">
        <f t="shared" si="7"/>
        <v>51.428571428571431</v>
      </c>
      <c r="H46" s="27">
        <f>F4/SUM(J41:J55)</f>
        <v>2.1428571428571428</v>
      </c>
      <c r="I46" s="28">
        <f t="shared" si="8"/>
        <v>51.428571428571431</v>
      </c>
      <c r="J46" s="24">
        <f t="shared" si="9"/>
        <v>24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NAYELI</v>
      </c>
      <c r="G47" s="26">
        <f t="shared" si="7"/>
        <v>102.85714285714286</v>
      </c>
      <c r="H47" s="27">
        <f>F4/SUM(J41:J55)</f>
        <v>2.1428571428571428</v>
      </c>
      <c r="I47" s="28">
        <f t="shared" si="8"/>
        <v>102.85714285714286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6</v>
      </c>
      <c r="C48" s="25">
        <f t="shared" si="4"/>
        <v>36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36</v>
      </c>
      <c r="F48" s="23" t="str">
        <f t="shared" si="6"/>
        <v>PORFIRIO</v>
      </c>
      <c r="G48" s="26">
        <f t="shared" si="7"/>
        <v>77.142857142857139</v>
      </c>
      <c r="H48" s="27">
        <f>F4/SUM(J41:J55)</f>
        <v>2.1428571428571428</v>
      </c>
      <c r="I48" s="28">
        <f t="shared" si="8"/>
        <v>77.142857142857139</v>
      </c>
      <c r="J48" s="24">
        <f t="shared" si="9"/>
        <v>36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6</v>
      </c>
      <c r="C49" s="25">
        <f t="shared" si="4"/>
        <v>36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36</v>
      </c>
      <c r="F49" s="23" t="str">
        <f t="shared" si="6"/>
        <v>PAULINA</v>
      </c>
      <c r="G49" s="26">
        <f t="shared" si="7"/>
        <v>77.142857142857139</v>
      </c>
      <c r="H49" s="27">
        <f>F4/SUM(J41:J55)</f>
        <v>2.1428571428571428</v>
      </c>
      <c r="I49" s="28">
        <f t="shared" si="8"/>
        <v>77.142857142857139</v>
      </c>
      <c r="J49" s="24">
        <f t="shared" si="9"/>
        <v>36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KEVIN</v>
      </c>
      <c r="G50" s="26">
        <f t="shared" si="7"/>
        <v>77.142857142857139</v>
      </c>
      <c r="H50" s="27">
        <f>F4/SUM(J41:J55)</f>
        <v>2.1428571428571428</v>
      </c>
      <c r="I50" s="28">
        <f t="shared" si="8"/>
        <v>77.142857142857139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0</v>
      </c>
      <c r="C51" s="25">
        <f t="shared" si="4"/>
        <v>0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0</v>
      </c>
      <c r="F51" s="23">
        <f t="shared" si="6"/>
        <v>0</v>
      </c>
      <c r="G51" s="26">
        <f t="shared" si="7"/>
        <v>0</v>
      </c>
      <c r="H51" s="27">
        <f>F4/SUM(J41:J55)</f>
        <v>2.1428571428571428</v>
      </c>
      <c r="I51" s="28">
        <f t="shared" si="8"/>
        <v>0</v>
      </c>
      <c r="J51" s="24">
        <f t="shared" si="9"/>
        <v>0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0</v>
      </c>
      <c r="C52" s="25">
        <f t="shared" si="4"/>
        <v>0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0</v>
      </c>
      <c r="F52" s="23">
        <f t="shared" si="6"/>
        <v>0</v>
      </c>
      <c r="G52" s="26">
        <f t="shared" si="7"/>
        <v>0</v>
      </c>
      <c r="H52" s="27">
        <f>F4/SUM(J41:J55)</f>
        <v>2.1428571428571428</v>
      </c>
      <c r="I52" s="28">
        <f t="shared" si="8"/>
        <v>0</v>
      </c>
      <c r="J52" s="24">
        <f t="shared" si="9"/>
        <v>0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2.1428571428571428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2.1428571428571428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2.1428571428571428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0</v>
      </c>
      <c r="E4" s="1"/>
      <c r="F4" s="7">
        <v>1270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99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99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66</v>
      </c>
      <c r="E7" s="1"/>
      <c r="F7" s="42" t="s">
        <v>59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132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8</v>
      </c>
      <c r="C9" s="5" t="s">
        <v>9</v>
      </c>
      <c r="D9" s="6">
        <f t="shared" si="0"/>
        <v>198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132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66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132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99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99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148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1270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>
        <v>7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56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>
        <v>1</v>
      </c>
      <c r="J24" s="11"/>
      <c r="K24" s="11"/>
      <c r="L24" s="11"/>
      <c r="M24" s="11"/>
      <c r="N24" s="11"/>
      <c r="O24" s="16">
        <f t="shared" si="2"/>
        <v>12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>
        <v>1</v>
      </c>
      <c r="J25" s="11"/>
      <c r="K25" s="11"/>
      <c r="L25" s="11"/>
      <c r="M25" s="11"/>
      <c r="N25" s="11"/>
      <c r="O25" s="16">
        <f t="shared" si="2"/>
        <v>12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>
        <v>1</v>
      </c>
      <c r="J26" s="11"/>
      <c r="K26" s="11"/>
      <c r="L26" s="11"/>
      <c r="M26" s="11"/>
      <c r="N26" s="11"/>
      <c r="O26" s="16">
        <f t="shared" si="2"/>
        <v>8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>
        <v>1</v>
      </c>
      <c r="J27" s="11"/>
      <c r="K27" s="11"/>
      <c r="L27" s="11"/>
      <c r="M27" s="11"/>
      <c r="N27" s="11"/>
      <c r="O27" s="16">
        <f t="shared" si="2"/>
        <v>16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>
        <v>1</v>
      </c>
      <c r="J29" s="18"/>
      <c r="K29" s="18"/>
      <c r="L29" s="18"/>
      <c r="M29" s="11"/>
      <c r="N29" s="18"/>
      <c r="O29" s="16">
        <f t="shared" si="2"/>
        <v>16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>
        <v>1</v>
      </c>
      <c r="J30" s="18"/>
      <c r="K30" s="18"/>
      <c r="L30" s="18"/>
      <c r="M30" s="11"/>
      <c r="N30" s="18"/>
      <c r="O30" s="16">
        <f t="shared" si="2"/>
        <v>8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>
        <v>1</v>
      </c>
      <c r="J31" s="18"/>
      <c r="K31" s="18"/>
      <c r="L31" s="18"/>
      <c r="M31" s="11"/>
      <c r="N31" s="18"/>
      <c r="O31" s="16">
        <f t="shared" si="2"/>
        <v>16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>
        <v>1</v>
      </c>
      <c r="J32" s="19"/>
      <c r="K32" s="19"/>
      <c r="L32" s="19"/>
      <c r="M32" s="19"/>
      <c r="N32" s="19"/>
      <c r="O32" s="16">
        <f t="shared" si="2"/>
        <v>12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>
        <v>1</v>
      </c>
      <c r="J33" s="18"/>
      <c r="K33" s="18"/>
      <c r="L33" s="18"/>
      <c r="M33" s="18"/>
      <c r="N33" s="18"/>
      <c r="O33" s="16">
        <f t="shared" si="2"/>
        <v>12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56</v>
      </c>
      <c r="E41" s="25">
        <f t="shared" ref="E41:E55" si="5">C41-D41</f>
        <v>-8</v>
      </c>
      <c r="F41" s="23" t="str">
        <f t="shared" ref="F41:F55" si="6">C4</f>
        <v>IVETH</v>
      </c>
      <c r="G41" s="26">
        <f t="shared" ref="G41:G55" si="7">H41*E41</f>
        <v>-32.987012987012989</v>
      </c>
      <c r="H41" s="27">
        <f>F4/SUM(J41:J55)</f>
        <v>4.1233766233766236</v>
      </c>
      <c r="I41" s="28">
        <f t="shared" ref="I41:I55" si="8">IF(G41&lt;0,0,G41)</f>
        <v>0</v>
      </c>
      <c r="J41" s="24">
        <f t="shared" ref="J41:J55" si="9">IF(E41&lt;0,0,E41)</f>
        <v>0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12</v>
      </c>
      <c r="E42" s="25">
        <f t="shared" si="5"/>
        <v>24</v>
      </c>
      <c r="F42" s="23" t="str">
        <f t="shared" si="6"/>
        <v>EDMUNDO</v>
      </c>
      <c r="G42" s="26">
        <f t="shared" si="7"/>
        <v>98.961038961038966</v>
      </c>
      <c r="H42" s="27">
        <f>F4/SUM(J41:J55)</f>
        <v>4.1233766233766236</v>
      </c>
      <c r="I42" s="28">
        <f t="shared" si="8"/>
        <v>98.961038961038966</v>
      </c>
      <c r="J42" s="24">
        <f t="shared" si="9"/>
        <v>24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12</v>
      </c>
      <c r="E43" s="25">
        <f t="shared" si="5"/>
        <v>24</v>
      </c>
      <c r="F43" s="23" t="str">
        <f t="shared" si="6"/>
        <v>MARGOT</v>
      </c>
      <c r="G43" s="26">
        <f t="shared" si="7"/>
        <v>98.961038961038966</v>
      </c>
      <c r="H43" s="27">
        <f>F4/SUM(J41:J55)</f>
        <v>4.1233766233766236</v>
      </c>
      <c r="I43" s="28">
        <f t="shared" si="8"/>
        <v>98.961038961038966</v>
      </c>
      <c r="J43" s="24">
        <f t="shared" si="9"/>
        <v>24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8</v>
      </c>
      <c r="E44" s="25">
        <f t="shared" si="5"/>
        <v>16</v>
      </c>
      <c r="F44" s="23" t="str">
        <f t="shared" si="6"/>
        <v>RODRIGO</v>
      </c>
      <c r="G44" s="26">
        <f t="shared" si="7"/>
        <v>65.974025974025977</v>
      </c>
      <c r="H44" s="27">
        <f>F4/SUM(J41:J55)</f>
        <v>4.1233766233766236</v>
      </c>
      <c r="I44" s="28">
        <f t="shared" si="8"/>
        <v>65.974025974025977</v>
      </c>
      <c r="J44" s="24">
        <f t="shared" si="9"/>
        <v>16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16</v>
      </c>
      <c r="E45" s="25">
        <f t="shared" si="5"/>
        <v>32</v>
      </c>
      <c r="F45" s="23" t="str">
        <f t="shared" si="6"/>
        <v>LUIS</v>
      </c>
      <c r="G45" s="26">
        <f t="shared" si="7"/>
        <v>131.94805194805195</v>
      </c>
      <c r="H45" s="27">
        <f>F4/SUM(J41:J55)</f>
        <v>4.1233766233766236</v>
      </c>
      <c r="I45" s="28">
        <f t="shared" si="8"/>
        <v>131.94805194805195</v>
      </c>
      <c r="J45" s="24">
        <f t="shared" si="9"/>
        <v>32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8</v>
      </c>
      <c r="C46" s="25">
        <f t="shared" si="4"/>
        <v>48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48</v>
      </c>
      <c r="F46" s="23" t="str">
        <f t="shared" si="6"/>
        <v>FERNANDO</v>
      </c>
      <c r="G46" s="26">
        <f t="shared" si="7"/>
        <v>197.92207792207793</v>
      </c>
      <c r="H46" s="27">
        <f>F4/SUM(J41:J55)</f>
        <v>4.1233766233766236</v>
      </c>
      <c r="I46" s="28">
        <f t="shared" si="8"/>
        <v>197.92207792207793</v>
      </c>
      <c r="J46" s="24">
        <f t="shared" si="9"/>
        <v>48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16</v>
      </c>
      <c r="E47" s="25">
        <f t="shared" si="5"/>
        <v>32</v>
      </c>
      <c r="F47" s="23" t="str">
        <f t="shared" si="6"/>
        <v>JAVIER</v>
      </c>
      <c r="G47" s="26">
        <f t="shared" si="7"/>
        <v>131.94805194805195</v>
      </c>
      <c r="H47" s="27">
        <f>F4/SUM(J41:J55)</f>
        <v>4.1233766233766236</v>
      </c>
      <c r="I47" s="28">
        <f t="shared" si="8"/>
        <v>131.94805194805195</v>
      </c>
      <c r="J47" s="24">
        <f t="shared" si="9"/>
        <v>32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8</v>
      </c>
      <c r="E48" s="25">
        <f t="shared" si="5"/>
        <v>16</v>
      </c>
      <c r="F48" s="23" t="str">
        <f t="shared" si="6"/>
        <v>RICARDO</v>
      </c>
      <c r="G48" s="26">
        <f t="shared" si="7"/>
        <v>65.974025974025977</v>
      </c>
      <c r="H48" s="27">
        <f>F4/SUM(J41:J55)</f>
        <v>4.1233766233766236</v>
      </c>
      <c r="I48" s="28">
        <f t="shared" si="8"/>
        <v>65.974025974025977</v>
      </c>
      <c r="J48" s="24">
        <f t="shared" si="9"/>
        <v>16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16</v>
      </c>
      <c r="E49" s="25">
        <f t="shared" si="5"/>
        <v>32</v>
      </c>
      <c r="F49" s="23" t="str">
        <f t="shared" si="6"/>
        <v>NAYELI</v>
      </c>
      <c r="G49" s="26">
        <f t="shared" si="7"/>
        <v>131.94805194805195</v>
      </c>
      <c r="H49" s="27">
        <f>F4/SUM(J41:J55)</f>
        <v>4.1233766233766236</v>
      </c>
      <c r="I49" s="28">
        <f t="shared" si="8"/>
        <v>131.94805194805195</v>
      </c>
      <c r="J49" s="24">
        <f t="shared" si="9"/>
        <v>32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12</v>
      </c>
      <c r="E50" s="25">
        <f t="shared" si="5"/>
        <v>24</v>
      </c>
      <c r="F50" s="23" t="str">
        <f t="shared" si="6"/>
        <v>ENRIQUE</v>
      </c>
      <c r="G50" s="26">
        <f t="shared" si="7"/>
        <v>98.961038961038966</v>
      </c>
      <c r="H50" s="27">
        <f>F4/SUM(J41:J55)</f>
        <v>4.1233766233766236</v>
      </c>
      <c r="I50" s="28">
        <f t="shared" si="8"/>
        <v>98.961038961038966</v>
      </c>
      <c r="J50" s="24">
        <f t="shared" si="9"/>
        <v>24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12</v>
      </c>
      <c r="E51" s="25">
        <f t="shared" si="5"/>
        <v>24</v>
      </c>
      <c r="F51" s="23" t="str">
        <f t="shared" si="6"/>
        <v>OBETH</v>
      </c>
      <c r="G51" s="26">
        <f t="shared" si="7"/>
        <v>98.961038961038966</v>
      </c>
      <c r="H51" s="27">
        <f>F4/SUM(J41:J55)</f>
        <v>4.1233766233766236</v>
      </c>
      <c r="I51" s="28">
        <f t="shared" si="8"/>
        <v>98.961038961038966</v>
      </c>
      <c r="J51" s="24">
        <f t="shared" si="9"/>
        <v>24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148.44155844155844</v>
      </c>
      <c r="H52" s="27">
        <f>F4/SUM(J41:J55)</f>
        <v>4.1233766233766236</v>
      </c>
      <c r="I52" s="28">
        <f t="shared" si="8"/>
        <v>148.44155844155844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4.1233766233766236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4.1233766233766236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4.1233766233766236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 t="s">
        <v>60</v>
      </c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0</v>
      </c>
      <c r="E4" s="1"/>
      <c r="F4" s="7">
        <v>760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81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109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8</v>
      </c>
      <c r="C7" s="5" t="s">
        <v>8</v>
      </c>
      <c r="D7" s="6">
        <f t="shared" si="0"/>
        <v>54</v>
      </c>
      <c r="E7" s="1"/>
      <c r="F7" s="42" t="s">
        <v>58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49</v>
      </c>
      <c r="D8" s="6">
        <f t="shared" si="0"/>
        <v>109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4</v>
      </c>
      <c r="C9" s="5" t="s">
        <v>50</v>
      </c>
      <c r="D9" s="6">
        <f t="shared" si="0"/>
        <v>54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12</v>
      </c>
      <c r="D10" s="6">
        <f t="shared" si="0"/>
        <v>109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6</v>
      </c>
      <c r="C11" s="5" t="s">
        <v>37</v>
      </c>
      <c r="D11" s="6">
        <f t="shared" si="0"/>
        <v>81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6</v>
      </c>
      <c r="C12" s="5" t="s">
        <v>43</v>
      </c>
      <c r="D12" s="6">
        <f t="shared" si="0"/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45</v>
      </c>
      <c r="D13" s="6">
        <f t="shared" si="0"/>
        <v>81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61</v>
      </c>
      <c r="D14" s="6">
        <f t="shared" si="0"/>
        <v>81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/>
      <c r="C15" s="5"/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759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>
        <v>7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56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LUIS</v>
      </c>
      <c r="B26" s="11"/>
      <c r="C26" s="11"/>
      <c r="D26" s="11">
        <v>3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24</v>
      </c>
      <c r="P26" s="17" t="s">
        <v>30</v>
      </c>
      <c r="Q26" s="1"/>
    </row>
    <row r="27" spans="1:17" ht="15.75" customHeight="1" x14ac:dyDescent="0.25">
      <c r="A27" s="15" t="str">
        <f t="shared" si="1"/>
        <v xml:space="preserve">JAVIER 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 xml:space="preserve">RICARDO 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NAYELI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PORFIRIO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PAULINA</v>
      </c>
      <c r="B31" s="18"/>
      <c r="C31" s="18"/>
      <c r="D31" s="18">
        <v>7</v>
      </c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42</v>
      </c>
      <c r="P31" s="17" t="s">
        <v>30</v>
      </c>
      <c r="Q31" s="1"/>
    </row>
    <row r="32" spans="1:17" ht="15.75" customHeight="1" x14ac:dyDescent="0.25">
      <c r="A32" s="15" t="str">
        <f t="shared" si="1"/>
        <v>KEVIN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 xml:space="preserve">MISHEL 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>
        <f t="shared" si="1"/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56</v>
      </c>
      <c r="E41" s="25">
        <f t="shared" ref="E41:E55" si="5">C41-D41</f>
        <v>-8</v>
      </c>
      <c r="F41" s="23" t="str">
        <f t="shared" ref="F41:F55" si="6">C4</f>
        <v>IVETH</v>
      </c>
      <c r="G41" s="26">
        <f t="shared" ref="G41:G55" si="7">H41*E41</f>
        <v>-18.095238095238095</v>
      </c>
      <c r="H41" s="27">
        <f>F4/SUM(J41:J55)</f>
        <v>2.2619047619047619</v>
      </c>
      <c r="I41" s="28">
        <f t="shared" ref="I41:I55" si="8">IF(G41&lt;0,0,G41)</f>
        <v>0</v>
      </c>
      <c r="J41" s="24">
        <f t="shared" ref="J41:J55" si="9">IF(E41&lt;0,0,E41)</f>
        <v>0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81.428571428571431</v>
      </c>
      <c r="H42" s="27">
        <f>F4/SUM(J41:J55)</f>
        <v>2.2619047619047619</v>
      </c>
      <c r="I42" s="28">
        <f t="shared" si="8"/>
        <v>81.428571428571431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108.57142857142857</v>
      </c>
      <c r="H43" s="27">
        <f>F4/SUM(J41:J55)</f>
        <v>2.2619047619047619</v>
      </c>
      <c r="I43" s="28">
        <f t="shared" si="8"/>
        <v>108.57142857142857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8</v>
      </c>
      <c r="C44" s="25">
        <f t="shared" si="4"/>
        <v>48</v>
      </c>
      <c r="D44" s="25">
        <f>(B7*B26*B21)+(B7*C26*C21)+(B7*D26*D21)+(B7*E26*E21)+(B7*F26*F21)+(B7*G26*G21)+(B7*H26*H21)+(B7*I26*I21)+(B7*J26*J21)+(B7*K26*K21)+(B7*L26*L21)+(B7*M26*M21)+(B7*N26*N21)</f>
        <v>24</v>
      </c>
      <c r="E44" s="25">
        <f t="shared" si="5"/>
        <v>24</v>
      </c>
      <c r="F44" s="23" t="str">
        <f t="shared" si="6"/>
        <v>LUIS</v>
      </c>
      <c r="G44" s="26">
        <f t="shared" si="7"/>
        <v>54.285714285714285</v>
      </c>
      <c r="H44" s="27">
        <f>F4/SUM(J41:J55)</f>
        <v>2.2619047619047619</v>
      </c>
      <c r="I44" s="28">
        <f t="shared" si="8"/>
        <v>54.285714285714285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 xml:space="preserve">JAVIER </v>
      </c>
      <c r="G45" s="26">
        <f t="shared" si="7"/>
        <v>108.57142857142857</v>
      </c>
      <c r="H45" s="27">
        <f>F4/SUM(J41:J55)</f>
        <v>2.2619047619047619</v>
      </c>
      <c r="I45" s="28">
        <f t="shared" si="8"/>
        <v>108.57142857142857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4</v>
      </c>
      <c r="C46" s="25">
        <f t="shared" si="4"/>
        <v>24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24</v>
      </c>
      <c r="F46" s="23" t="str">
        <f t="shared" si="6"/>
        <v xml:space="preserve">RICARDO </v>
      </c>
      <c r="G46" s="26">
        <f t="shared" si="7"/>
        <v>54.285714285714285</v>
      </c>
      <c r="H46" s="27">
        <f>F4/SUM(J41:J55)</f>
        <v>2.2619047619047619</v>
      </c>
      <c r="I46" s="28">
        <f t="shared" si="8"/>
        <v>54.285714285714285</v>
      </c>
      <c r="J46" s="24">
        <f t="shared" si="9"/>
        <v>24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NAYELI</v>
      </c>
      <c r="G47" s="26">
        <f t="shared" si="7"/>
        <v>108.57142857142857</v>
      </c>
      <c r="H47" s="27">
        <f>F4/SUM(J41:J55)</f>
        <v>2.2619047619047619</v>
      </c>
      <c r="I47" s="28">
        <f t="shared" si="8"/>
        <v>108.57142857142857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6</v>
      </c>
      <c r="C48" s="25">
        <f t="shared" si="4"/>
        <v>36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36</v>
      </c>
      <c r="F48" s="23" t="str">
        <f t="shared" si="6"/>
        <v>PORFIRIO</v>
      </c>
      <c r="G48" s="26">
        <f t="shared" si="7"/>
        <v>81.428571428571431</v>
      </c>
      <c r="H48" s="27">
        <f>F4/SUM(J41:J55)</f>
        <v>2.2619047619047619</v>
      </c>
      <c r="I48" s="28">
        <f t="shared" si="8"/>
        <v>81.428571428571431</v>
      </c>
      <c r="J48" s="24">
        <f t="shared" si="9"/>
        <v>36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6</v>
      </c>
      <c r="C49" s="25">
        <f t="shared" si="4"/>
        <v>36</v>
      </c>
      <c r="D49" s="25">
        <f>(B12*B31*B21)+(B12*C31*C21)+(B12*D31*D21)+(B12*E31*E21)+(B12*F31*F21)+(B12*G31*G21)+(B12*H31*H21)+(B12*I31*I21)+(B12*J31*J21)+(B12*K31*K21)+(B12*L31*L21)+(B12*M31*M21)+(B12*N31*N21)</f>
        <v>42</v>
      </c>
      <c r="E49" s="25">
        <f t="shared" si="5"/>
        <v>-6</v>
      </c>
      <c r="F49" s="23" t="str">
        <f t="shared" si="6"/>
        <v>PAULINA</v>
      </c>
      <c r="G49" s="26">
        <f t="shared" si="7"/>
        <v>-13.571428571428571</v>
      </c>
      <c r="H49" s="27">
        <f>F4/SUM(J41:J55)</f>
        <v>2.2619047619047619</v>
      </c>
      <c r="I49" s="28">
        <f t="shared" si="8"/>
        <v>0</v>
      </c>
      <c r="J49" s="24">
        <f t="shared" si="9"/>
        <v>0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KEVIN</v>
      </c>
      <c r="G50" s="26">
        <f t="shared" si="7"/>
        <v>81.428571428571431</v>
      </c>
      <c r="H50" s="27">
        <f>F4/SUM(J41:J55)</f>
        <v>2.2619047619047619</v>
      </c>
      <c r="I50" s="28">
        <f t="shared" si="8"/>
        <v>81.428571428571431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 xml:space="preserve">MISHEL </v>
      </c>
      <c r="G51" s="26">
        <f t="shared" si="7"/>
        <v>81.428571428571431</v>
      </c>
      <c r="H51" s="27">
        <f>F4/SUM(J41:J55)</f>
        <v>2.2619047619047619</v>
      </c>
      <c r="I51" s="28">
        <f t="shared" si="8"/>
        <v>81.428571428571431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0</v>
      </c>
      <c r="C52" s="25">
        <f t="shared" si="4"/>
        <v>0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0</v>
      </c>
      <c r="F52" s="23">
        <f t="shared" si="6"/>
        <v>0</v>
      </c>
      <c r="G52" s="26">
        <f t="shared" si="7"/>
        <v>0</v>
      </c>
      <c r="H52" s="27">
        <f>F4/SUM(J41:J55)</f>
        <v>2.2619047619047619</v>
      </c>
      <c r="I52" s="28">
        <f t="shared" si="8"/>
        <v>0</v>
      </c>
      <c r="J52" s="24">
        <f t="shared" si="9"/>
        <v>0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2.2619047619047619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2.2619047619047619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2.2619047619047619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160</v>
      </c>
      <c r="E4" s="1"/>
      <c r="F4" s="7">
        <v>1290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120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160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8</v>
      </c>
      <c r="C7" s="5" t="s">
        <v>62</v>
      </c>
      <c r="D7" s="6">
        <f t="shared" si="0"/>
        <v>0</v>
      </c>
      <c r="E7" s="1"/>
      <c r="F7" s="42" t="s">
        <v>58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10</v>
      </c>
      <c r="D8" s="6">
        <f t="shared" si="0"/>
        <v>133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4</v>
      </c>
      <c r="C9" s="5" t="s">
        <v>50</v>
      </c>
      <c r="D9" s="6">
        <f t="shared" si="0"/>
        <v>80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51</v>
      </c>
      <c r="D10" s="6">
        <f t="shared" si="0"/>
        <v>160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6</v>
      </c>
      <c r="C11" s="5" t="s">
        <v>47</v>
      </c>
      <c r="D11" s="6">
        <f t="shared" si="0"/>
        <v>120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6</v>
      </c>
      <c r="C12" s="5" t="s">
        <v>40</v>
      </c>
      <c r="D12" s="6">
        <f t="shared" si="0"/>
        <v>120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63</v>
      </c>
      <c r="D13" s="6">
        <f t="shared" si="0"/>
        <v>120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61</v>
      </c>
      <c r="D14" s="6">
        <f t="shared" si="0"/>
        <v>120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/>
      <c r="C15" s="5"/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1293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1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 xml:space="preserve">LUIS </v>
      </c>
      <c r="B26" s="11"/>
      <c r="C26" s="11"/>
      <c r="D26" s="11">
        <v>7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56</v>
      </c>
      <c r="P26" s="17" t="s">
        <v>30</v>
      </c>
      <c r="Q26" s="1"/>
    </row>
    <row r="27" spans="1:17" ht="15.75" customHeight="1" x14ac:dyDescent="0.25">
      <c r="A27" s="15" t="str">
        <f t="shared" si="1"/>
        <v>JAVIER</v>
      </c>
      <c r="B27" s="11"/>
      <c r="C27" s="11"/>
      <c r="D27" s="11"/>
      <c r="E27" s="11"/>
      <c r="F27" s="11"/>
      <c r="G27" s="11"/>
      <c r="H27" s="11"/>
      <c r="I27" s="11"/>
      <c r="J27" s="11">
        <v>1</v>
      </c>
      <c r="K27" s="11"/>
      <c r="L27" s="11"/>
      <c r="M27" s="11"/>
      <c r="N27" s="11"/>
      <c r="O27" s="16">
        <f t="shared" si="2"/>
        <v>8</v>
      </c>
      <c r="P27" s="17" t="s">
        <v>30</v>
      </c>
      <c r="Q27" s="1"/>
    </row>
    <row r="28" spans="1:17" ht="15.75" customHeight="1" x14ac:dyDescent="0.25">
      <c r="A28" s="15" t="str">
        <f t="shared" si="1"/>
        <v xml:space="preserve">RICARDO 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 xml:space="preserve">NAYELI 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 xml:space="preserve">PORFIRIO 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 xml:space="preserve">PAULINA 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 xml:space="preserve">KEVIN 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 xml:space="preserve">MISHEL 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>
        <f t="shared" si="1"/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159.58762886597938</v>
      </c>
      <c r="H41" s="27">
        <f>F4/SUM(J41:J55)</f>
        <v>3.3247422680412373</v>
      </c>
      <c r="I41" s="28">
        <f t="shared" ref="I41:I55" si="8">IF(G41&lt;0,0,G41)</f>
        <v>159.58762886597938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119.69072164948454</v>
      </c>
      <c r="H42" s="27">
        <f>F4/SUM(J41:J55)</f>
        <v>3.3247422680412373</v>
      </c>
      <c r="I42" s="28">
        <f t="shared" si="8"/>
        <v>119.69072164948454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159.58762886597938</v>
      </c>
      <c r="H43" s="27">
        <f>F4/SUM(J41:J55)</f>
        <v>3.3247422680412373</v>
      </c>
      <c r="I43" s="28">
        <f t="shared" si="8"/>
        <v>159.58762886597938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8</v>
      </c>
      <c r="C44" s="25">
        <f t="shared" si="4"/>
        <v>48</v>
      </c>
      <c r="D44" s="25">
        <f>(B7*B26*B21)+(B7*C26*C21)+(B7*D26*D21)+(B7*E26*E21)+(B7*F26*F21)+(B7*G26*G21)+(B7*H26*H21)+(B7*I26*I21)+(B7*J26*J21)+(B7*K26*K21)+(B7*L26*L21)+(B7*M26*M21)+(B7*N26*N21)</f>
        <v>56</v>
      </c>
      <c r="E44" s="25">
        <f t="shared" si="5"/>
        <v>-8</v>
      </c>
      <c r="F44" s="23" t="str">
        <f t="shared" si="6"/>
        <v xml:space="preserve">LUIS </v>
      </c>
      <c r="G44" s="26">
        <f t="shared" si="7"/>
        <v>-26.597938144329898</v>
      </c>
      <c r="H44" s="27">
        <f>F4/SUM(J41:J55)</f>
        <v>3.3247422680412373</v>
      </c>
      <c r="I44" s="28">
        <f t="shared" si="8"/>
        <v>0</v>
      </c>
      <c r="J44" s="24">
        <f t="shared" si="9"/>
        <v>0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8</v>
      </c>
      <c r="E45" s="25">
        <f t="shared" si="5"/>
        <v>40</v>
      </c>
      <c r="F45" s="23" t="str">
        <f t="shared" si="6"/>
        <v>JAVIER</v>
      </c>
      <c r="G45" s="26">
        <f t="shared" si="7"/>
        <v>132.98969072164948</v>
      </c>
      <c r="H45" s="27">
        <f>F4/SUM(J41:J55)</f>
        <v>3.3247422680412373</v>
      </c>
      <c r="I45" s="28">
        <f t="shared" si="8"/>
        <v>132.98969072164948</v>
      </c>
      <c r="J45" s="24">
        <f t="shared" si="9"/>
        <v>40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4</v>
      </c>
      <c r="C46" s="25">
        <f t="shared" si="4"/>
        <v>24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24</v>
      </c>
      <c r="F46" s="23" t="str">
        <f t="shared" si="6"/>
        <v xml:space="preserve">RICARDO </v>
      </c>
      <c r="G46" s="26">
        <f t="shared" si="7"/>
        <v>79.793814432989691</v>
      </c>
      <c r="H46" s="27">
        <f>F4/SUM(J41:J55)</f>
        <v>3.3247422680412373</v>
      </c>
      <c r="I46" s="28">
        <f t="shared" si="8"/>
        <v>79.793814432989691</v>
      </c>
      <c r="J46" s="24">
        <f t="shared" si="9"/>
        <v>24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 xml:space="preserve">NAYELI </v>
      </c>
      <c r="G47" s="26">
        <f t="shared" si="7"/>
        <v>159.58762886597938</v>
      </c>
      <c r="H47" s="27">
        <f>F4/SUM(J41:J55)</f>
        <v>3.3247422680412373</v>
      </c>
      <c r="I47" s="28">
        <f t="shared" si="8"/>
        <v>159.58762886597938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6</v>
      </c>
      <c r="C48" s="25">
        <f t="shared" si="4"/>
        <v>36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36</v>
      </c>
      <c r="F48" s="23" t="str">
        <f t="shared" si="6"/>
        <v xml:space="preserve">PORFIRIO </v>
      </c>
      <c r="G48" s="26">
        <f t="shared" si="7"/>
        <v>119.69072164948454</v>
      </c>
      <c r="H48" s="27">
        <f>F4/SUM(J41:J55)</f>
        <v>3.3247422680412373</v>
      </c>
      <c r="I48" s="28">
        <f t="shared" si="8"/>
        <v>119.69072164948454</v>
      </c>
      <c r="J48" s="24">
        <f t="shared" si="9"/>
        <v>36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6</v>
      </c>
      <c r="C49" s="25">
        <f t="shared" si="4"/>
        <v>36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36</v>
      </c>
      <c r="F49" s="23" t="str">
        <f t="shared" si="6"/>
        <v xml:space="preserve">PAULINA </v>
      </c>
      <c r="G49" s="26">
        <f t="shared" si="7"/>
        <v>119.69072164948454</v>
      </c>
      <c r="H49" s="27">
        <f>F4/SUM(J41:J55)</f>
        <v>3.3247422680412373</v>
      </c>
      <c r="I49" s="28">
        <f t="shared" si="8"/>
        <v>119.69072164948454</v>
      </c>
      <c r="J49" s="24">
        <f t="shared" si="9"/>
        <v>36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 xml:space="preserve">KEVIN </v>
      </c>
      <c r="G50" s="26">
        <f t="shared" si="7"/>
        <v>119.69072164948454</v>
      </c>
      <c r="H50" s="27">
        <f>F4/SUM(J41:J55)</f>
        <v>3.3247422680412373</v>
      </c>
      <c r="I50" s="28">
        <f t="shared" si="8"/>
        <v>119.69072164948454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 xml:space="preserve">MISHEL </v>
      </c>
      <c r="G51" s="26">
        <f t="shared" si="7"/>
        <v>119.69072164948454</v>
      </c>
      <c r="H51" s="27">
        <f>F4/SUM(J41:J55)</f>
        <v>3.3247422680412373</v>
      </c>
      <c r="I51" s="28">
        <f t="shared" si="8"/>
        <v>119.69072164948454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0</v>
      </c>
      <c r="C52" s="25">
        <f t="shared" si="4"/>
        <v>0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0</v>
      </c>
      <c r="F52" s="23">
        <f t="shared" si="6"/>
        <v>0</v>
      </c>
      <c r="G52" s="26">
        <f t="shared" si="7"/>
        <v>0</v>
      </c>
      <c r="H52" s="27">
        <f>F4/SUM(J41:J55)</f>
        <v>3.3247422680412373</v>
      </c>
      <c r="I52" s="28">
        <f t="shared" si="8"/>
        <v>0</v>
      </c>
      <c r="J52" s="24">
        <f t="shared" si="9"/>
        <v>0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3.3247422680412373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3.3247422680412373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3.3247422680412373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0</v>
      </c>
      <c r="E4" s="1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0</v>
      </c>
      <c r="E7" s="1"/>
      <c r="F7" s="42"/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>
        <f t="shared" si="0"/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0</v>
      </c>
      <c r="H41" s="27">
        <f>F4/SUM(J41:J55)</f>
        <v>0</v>
      </c>
      <c r="I41" s="28">
        <f t="shared" ref="I41:I55" si="8">IF(G41&lt;0,0,G41)</f>
        <v>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0</v>
      </c>
      <c r="H42" s="27">
        <f>F4/SUM(J41:J55)</f>
        <v>0</v>
      </c>
      <c r="I42" s="28">
        <f t="shared" si="8"/>
        <v>0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>
        <f t="shared" si="7"/>
        <v>0</v>
      </c>
      <c r="H43" s="27">
        <f>F4/SUM(J41:J55)</f>
        <v>0</v>
      </c>
      <c r="I43" s="28">
        <f t="shared" si="8"/>
        <v>0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0</v>
      </c>
      <c r="H44" s="27">
        <f>F4/SUM(J41:J55)</f>
        <v>0</v>
      </c>
      <c r="I44" s="28">
        <f t="shared" si="8"/>
        <v>0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0</v>
      </c>
      <c r="H45" s="27">
        <f>F4/SUM(J41:J55)</f>
        <v>0</v>
      </c>
      <c r="I45" s="28">
        <f t="shared" si="8"/>
        <v>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>
        <f t="shared" si="7"/>
        <v>0</v>
      </c>
      <c r="H46" s="27">
        <f>F4/SUM(J41:J55)</f>
        <v>0</v>
      </c>
      <c r="I46" s="28">
        <f t="shared" si="8"/>
        <v>0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0</v>
      </c>
      <c r="H47" s="27">
        <f>F4/SUM(J41:J55)</f>
        <v>0</v>
      </c>
      <c r="I47" s="28">
        <f t="shared" si="8"/>
        <v>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0</v>
      </c>
      <c r="H48" s="27">
        <f>F4/SUM(J41:J55)</f>
        <v>0</v>
      </c>
      <c r="I48" s="28">
        <f t="shared" si="8"/>
        <v>0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0</v>
      </c>
      <c r="H49" s="27">
        <f>F4/SUM(J41:J55)</f>
        <v>0</v>
      </c>
      <c r="I49" s="28">
        <f t="shared" si="8"/>
        <v>0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0</v>
      </c>
      <c r="H50" s="27">
        <f>F4/SUM(J41:J55)</f>
        <v>0</v>
      </c>
      <c r="I50" s="28">
        <f t="shared" si="8"/>
        <v>0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0</v>
      </c>
      <c r="H51" s="27">
        <f>F4/SUM(J41:J55)</f>
        <v>0</v>
      </c>
      <c r="I51" s="28">
        <f t="shared" si="8"/>
        <v>0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0</v>
      </c>
      <c r="H52" s="27">
        <f>F4/SUM(J41:J55)</f>
        <v>0</v>
      </c>
      <c r="I52" s="28">
        <f t="shared" si="8"/>
        <v>0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82</v>
      </c>
      <c r="E4" s="1"/>
      <c r="F4" s="7">
        <v>760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62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82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8</v>
      </c>
      <c r="C7" s="5" t="s">
        <v>8</v>
      </c>
      <c r="D7" s="6">
        <f t="shared" si="0"/>
        <v>82</v>
      </c>
      <c r="E7" s="1"/>
      <c r="F7" s="42" t="s">
        <v>38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10</v>
      </c>
      <c r="D8" s="6">
        <f t="shared" si="0"/>
        <v>82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4</v>
      </c>
      <c r="C9" s="5" t="s">
        <v>11</v>
      </c>
      <c r="D9" s="6">
        <f t="shared" si="0"/>
        <v>41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12</v>
      </c>
      <c r="D10" s="6">
        <f t="shared" si="0"/>
        <v>82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6</v>
      </c>
      <c r="C11" s="5" t="s">
        <v>37</v>
      </c>
      <c r="D11" s="6">
        <f t="shared" si="0"/>
        <v>62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6</v>
      </c>
      <c r="C12" s="5" t="s">
        <v>43</v>
      </c>
      <c r="D12" s="6">
        <f t="shared" si="0"/>
        <v>62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45</v>
      </c>
      <c r="D13" s="6">
        <f t="shared" si="0"/>
        <v>62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64</v>
      </c>
      <c r="D14" s="6">
        <f t="shared" si="0"/>
        <v>62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/>
      <c r="C15" s="5"/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761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LUIS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JAVIER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RICARDO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NAYELI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PORFIRIO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PAULINA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KEVIN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MISHEL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>
        <f t="shared" si="1"/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82.162162162162161</v>
      </c>
      <c r="H41" s="27">
        <f>F4/SUM(J41:J55)</f>
        <v>1.7117117117117118</v>
      </c>
      <c r="I41" s="28">
        <f t="shared" ref="I41:I55" si="8">IF(G41&lt;0,0,G41)</f>
        <v>82.162162162162161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61.621621621621621</v>
      </c>
      <c r="H42" s="27">
        <f>F4/SUM(J41:J55)</f>
        <v>1.7117117117117118</v>
      </c>
      <c r="I42" s="28">
        <f t="shared" si="8"/>
        <v>61.621621621621621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82.162162162162161</v>
      </c>
      <c r="H43" s="27">
        <f>F4/SUM(J41:J55)</f>
        <v>1.7117117117117118</v>
      </c>
      <c r="I43" s="28">
        <f t="shared" si="8"/>
        <v>82.162162162162161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8</v>
      </c>
      <c r="C44" s="25">
        <f t="shared" si="4"/>
        <v>48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48</v>
      </c>
      <c r="F44" s="23" t="str">
        <f t="shared" si="6"/>
        <v>LUIS</v>
      </c>
      <c r="G44" s="26">
        <f t="shared" si="7"/>
        <v>82.162162162162161</v>
      </c>
      <c r="H44" s="27">
        <f>F4/SUM(J41:J55)</f>
        <v>1.7117117117117118</v>
      </c>
      <c r="I44" s="28">
        <f t="shared" si="8"/>
        <v>82.162162162162161</v>
      </c>
      <c r="J44" s="24">
        <f t="shared" si="9"/>
        <v>48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JAVIER</v>
      </c>
      <c r="G45" s="26">
        <f t="shared" si="7"/>
        <v>82.162162162162161</v>
      </c>
      <c r="H45" s="27">
        <f>F4/SUM(J41:J55)</f>
        <v>1.7117117117117118</v>
      </c>
      <c r="I45" s="28">
        <f t="shared" si="8"/>
        <v>82.162162162162161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4</v>
      </c>
      <c r="C46" s="25">
        <f t="shared" si="4"/>
        <v>24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24</v>
      </c>
      <c r="F46" s="23" t="str">
        <f t="shared" si="6"/>
        <v>RICARDO</v>
      </c>
      <c r="G46" s="26">
        <f t="shared" si="7"/>
        <v>41.081081081081081</v>
      </c>
      <c r="H46" s="27">
        <f>F4/SUM(J41:J55)</f>
        <v>1.7117117117117118</v>
      </c>
      <c r="I46" s="28">
        <f t="shared" si="8"/>
        <v>41.081081081081081</v>
      </c>
      <c r="J46" s="24">
        <f t="shared" si="9"/>
        <v>24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NAYELI</v>
      </c>
      <c r="G47" s="26">
        <f t="shared" si="7"/>
        <v>82.162162162162161</v>
      </c>
      <c r="H47" s="27">
        <f>F4/SUM(J41:J55)</f>
        <v>1.7117117117117118</v>
      </c>
      <c r="I47" s="28">
        <f t="shared" si="8"/>
        <v>82.162162162162161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6</v>
      </c>
      <c r="C48" s="25">
        <f t="shared" si="4"/>
        <v>36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36</v>
      </c>
      <c r="F48" s="23" t="str">
        <f t="shared" si="6"/>
        <v>PORFIRIO</v>
      </c>
      <c r="G48" s="26">
        <f t="shared" si="7"/>
        <v>61.621621621621621</v>
      </c>
      <c r="H48" s="27">
        <f>F4/SUM(J41:J55)</f>
        <v>1.7117117117117118</v>
      </c>
      <c r="I48" s="28">
        <f t="shared" si="8"/>
        <v>61.621621621621621</v>
      </c>
      <c r="J48" s="24">
        <f t="shared" si="9"/>
        <v>36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6</v>
      </c>
      <c r="C49" s="25">
        <f t="shared" si="4"/>
        <v>36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36</v>
      </c>
      <c r="F49" s="23" t="str">
        <f t="shared" si="6"/>
        <v>PAULINA</v>
      </c>
      <c r="G49" s="26">
        <f t="shared" si="7"/>
        <v>61.621621621621621</v>
      </c>
      <c r="H49" s="27">
        <f>F4/SUM(J41:J55)</f>
        <v>1.7117117117117118</v>
      </c>
      <c r="I49" s="28">
        <f t="shared" si="8"/>
        <v>61.621621621621621</v>
      </c>
      <c r="J49" s="24">
        <f t="shared" si="9"/>
        <v>36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KEVIN</v>
      </c>
      <c r="G50" s="26">
        <f t="shared" si="7"/>
        <v>61.621621621621621</v>
      </c>
      <c r="H50" s="27">
        <f>F4/SUM(J41:J55)</f>
        <v>1.7117117117117118</v>
      </c>
      <c r="I50" s="28">
        <f t="shared" si="8"/>
        <v>61.621621621621621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MISHEL</v>
      </c>
      <c r="G51" s="26">
        <f t="shared" si="7"/>
        <v>61.621621621621621</v>
      </c>
      <c r="H51" s="27">
        <f>F4/SUM(J41:J55)</f>
        <v>1.7117117117117118</v>
      </c>
      <c r="I51" s="28">
        <f t="shared" si="8"/>
        <v>61.621621621621621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0</v>
      </c>
      <c r="C52" s="25">
        <f t="shared" si="4"/>
        <v>0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0</v>
      </c>
      <c r="F52" s="23">
        <f t="shared" si="6"/>
        <v>0</v>
      </c>
      <c r="G52" s="26">
        <f t="shared" si="7"/>
        <v>0</v>
      </c>
      <c r="H52" s="27">
        <f>F4/SUM(J41:J55)</f>
        <v>1.7117117117117118</v>
      </c>
      <c r="I52" s="28">
        <f t="shared" si="8"/>
        <v>0</v>
      </c>
      <c r="J52" s="24">
        <f t="shared" si="9"/>
        <v>0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1.7117117117117118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1.7117117117117118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1.7117117117117118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47</v>
      </c>
      <c r="E4" s="1"/>
      <c r="F4" s="7">
        <v>390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35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47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8</v>
      </c>
      <c r="C7" s="5" t="s">
        <v>8</v>
      </c>
      <c r="D7" s="6">
        <f t="shared" si="0"/>
        <v>47</v>
      </c>
      <c r="E7" s="1"/>
      <c r="F7" s="42"/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10</v>
      </c>
      <c r="D8" s="6">
        <f t="shared" si="0"/>
        <v>47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4</v>
      </c>
      <c r="C9" s="5" t="s">
        <v>11</v>
      </c>
      <c r="D9" s="6">
        <f t="shared" si="0"/>
        <v>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12</v>
      </c>
      <c r="D10" s="6">
        <f t="shared" si="0"/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6</v>
      </c>
      <c r="C11" s="5" t="s">
        <v>37</v>
      </c>
      <c r="D11" s="6">
        <f t="shared" si="0"/>
        <v>35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6</v>
      </c>
      <c r="C12" s="5" t="s">
        <v>43</v>
      </c>
      <c r="D12" s="6">
        <f t="shared" si="0"/>
        <v>35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45</v>
      </c>
      <c r="D13" s="6">
        <f t="shared" si="0"/>
        <v>35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64</v>
      </c>
      <c r="D14" s="6">
        <f t="shared" si="0"/>
        <v>35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/>
      <c r="C15" s="5"/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387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LUIS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JAVIER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RICARDO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NAYELI</v>
      </c>
      <c r="B29" s="18"/>
      <c r="C29" s="18"/>
      <c r="D29" s="18">
        <v>7</v>
      </c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56</v>
      </c>
      <c r="P29" s="17" t="s">
        <v>30</v>
      </c>
      <c r="Q29" s="1"/>
    </row>
    <row r="30" spans="1:17" ht="15.75" customHeight="1" x14ac:dyDescent="0.25">
      <c r="A30" s="15" t="str">
        <f t="shared" si="1"/>
        <v>PORFIRIO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PAULINA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KEVIN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MISHEL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>
        <f t="shared" si="1"/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47.272727272727273</v>
      </c>
      <c r="H41" s="27">
        <f>F4/SUM(J41:J55)</f>
        <v>0.98484848484848486</v>
      </c>
      <c r="I41" s="28">
        <f t="shared" ref="I41:I55" si="8">IF(G41&lt;0,0,G41)</f>
        <v>47.272727272727273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35.454545454545453</v>
      </c>
      <c r="H42" s="27">
        <f>F4/SUM(J41:J55)</f>
        <v>0.98484848484848486</v>
      </c>
      <c r="I42" s="28">
        <f t="shared" si="8"/>
        <v>35.454545454545453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47.272727272727273</v>
      </c>
      <c r="H43" s="27">
        <f>F4/SUM(J41:J55)</f>
        <v>0.98484848484848486</v>
      </c>
      <c r="I43" s="28">
        <f t="shared" si="8"/>
        <v>47.272727272727273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8</v>
      </c>
      <c r="C44" s="25">
        <f t="shared" si="4"/>
        <v>48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48</v>
      </c>
      <c r="F44" s="23" t="str">
        <f t="shared" si="6"/>
        <v>LUIS</v>
      </c>
      <c r="G44" s="26">
        <f t="shared" si="7"/>
        <v>47.272727272727273</v>
      </c>
      <c r="H44" s="27">
        <f>F4/SUM(J41:J55)</f>
        <v>0.98484848484848486</v>
      </c>
      <c r="I44" s="28">
        <f t="shared" si="8"/>
        <v>47.272727272727273</v>
      </c>
      <c r="J44" s="24">
        <f t="shared" si="9"/>
        <v>48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JAVIER</v>
      </c>
      <c r="G45" s="26">
        <f t="shared" si="7"/>
        <v>47.272727272727273</v>
      </c>
      <c r="H45" s="27">
        <f>F4/SUM(J41:J55)</f>
        <v>0.98484848484848486</v>
      </c>
      <c r="I45" s="28">
        <f t="shared" si="8"/>
        <v>47.272727272727273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4</v>
      </c>
      <c r="C46" s="25">
        <f t="shared" si="4"/>
        <v>24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24</v>
      </c>
      <c r="F46" s="23" t="str">
        <f t="shared" si="6"/>
        <v>RICARDO</v>
      </c>
      <c r="G46" s="26">
        <f t="shared" si="7"/>
        <v>23.636363636363637</v>
      </c>
      <c r="H46" s="27">
        <f>F4/SUM(J41:J55)</f>
        <v>0.98484848484848486</v>
      </c>
      <c r="I46" s="28">
        <f t="shared" si="8"/>
        <v>23.636363636363637</v>
      </c>
      <c r="J46" s="24">
        <f t="shared" si="9"/>
        <v>24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56</v>
      </c>
      <c r="E47" s="25">
        <f t="shared" si="5"/>
        <v>-8</v>
      </c>
      <c r="F47" s="23" t="str">
        <f t="shared" si="6"/>
        <v>NAYELI</v>
      </c>
      <c r="G47" s="26">
        <f t="shared" si="7"/>
        <v>-7.8787878787878789</v>
      </c>
      <c r="H47" s="27">
        <f>F4/SUM(J41:J55)</f>
        <v>0.98484848484848486</v>
      </c>
      <c r="I47" s="28">
        <f t="shared" si="8"/>
        <v>0</v>
      </c>
      <c r="J47" s="24">
        <f t="shared" si="9"/>
        <v>0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6</v>
      </c>
      <c r="C48" s="25">
        <f t="shared" si="4"/>
        <v>36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36</v>
      </c>
      <c r="F48" s="23" t="str">
        <f t="shared" si="6"/>
        <v>PORFIRIO</v>
      </c>
      <c r="G48" s="26">
        <f t="shared" si="7"/>
        <v>35.454545454545453</v>
      </c>
      <c r="H48" s="27">
        <f>F4/SUM(J41:J55)</f>
        <v>0.98484848484848486</v>
      </c>
      <c r="I48" s="28">
        <f t="shared" si="8"/>
        <v>35.454545454545453</v>
      </c>
      <c r="J48" s="24">
        <f t="shared" si="9"/>
        <v>36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6</v>
      </c>
      <c r="C49" s="25">
        <f t="shared" si="4"/>
        <v>36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36</v>
      </c>
      <c r="F49" s="23" t="str">
        <f t="shared" si="6"/>
        <v>PAULINA</v>
      </c>
      <c r="G49" s="26">
        <f t="shared" si="7"/>
        <v>35.454545454545453</v>
      </c>
      <c r="H49" s="27">
        <f>F4/SUM(J41:J55)</f>
        <v>0.98484848484848486</v>
      </c>
      <c r="I49" s="28">
        <f t="shared" si="8"/>
        <v>35.454545454545453</v>
      </c>
      <c r="J49" s="24">
        <f t="shared" si="9"/>
        <v>36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KEVIN</v>
      </c>
      <c r="G50" s="26">
        <f t="shared" si="7"/>
        <v>35.454545454545453</v>
      </c>
      <c r="H50" s="27">
        <f>F4/SUM(J41:J55)</f>
        <v>0.98484848484848486</v>
      </c>
      <c r="I50" s="28">
        <f t="shared" si="8"/>
        <v>35.454545454545453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MISHEL</v>
      </c>
      <c r="G51" s="26">
        <f t="shared" si="7"/>
        <v>35.454545454545453</v>
      </c>
      <c r="H51" s="27">
        <f>F4/SUM(J41:J55)</f>
        <v>0.98484848484848486</v>
      </c>
      <c r="I51" s="28">
        <f t="shared" si="8"/>
        <v>35.454545454545453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0</v>
      </c>
      <c r="C52" s="25">
        <f t="shared" si="4"/>
        <v>0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0</v>
      </c>
      <c r="F52" s="23">
        <f t="shared" si="6"/>
        <v>0</v>
      </c>
      <c r="G52" s="26">
        <f t="shared" si="7"/>
        <v>0</v>
      </c>
      <c r="H52" s="27">
        <f>F4/SUM(J41:J55)</f>
        <v>0.98484848484848486</v>
      </c>
      <c r="I52" s="28">
        <f t="shared" si="8"/>
        <v>0</v>
      </c>
      <c r="J52" s="24">
        <f t="shared" si="9"/>
        <v>0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0.98484848484848486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0.98484848484848486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0.98484848484848486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82</v>
      </c>
      <c r="E4" s="1"/>
      <c r="F4" s="7">
        <v>815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61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41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41</v>
      </c>
      <c r="E7" s="1"/>
      <c r="F7" s="42" t="s">
        <v>38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82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8</v>
      </c>
      <c r="C9" s="5" t="s">
        <v>9</v>
      </c>
      <c r="D9" s="6">
        <f t="shared" si="0"/>
        <v>82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82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41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61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61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61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>
        <v>4</v>
      </c>
      <c r="C16" s="5" t="s">
        <v>37</v>
      </c>
      <c r="D16" s="6">
        <f t="shared" si="0"/>
        <v>41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818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>
        <v>3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24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 t="str">
        <f t="shared" si="1"/>
        <v>PORFIRIO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81.5</v>
      </c>
      <c r="H41" s="27">
        <f>F4/SUM(J41:J55)</f>
        <v>1.6979166666666667</v>
      </c>
      <c r="I41" s="28">
        <f t="shared" ref="I41:I55" si="8">IF(G41&lt;0,0,G41)</f>
        <v>81.5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61.125</v>
      </c>
      <c r="H42" s="27">
        <f>F4/SUM(J41:J55)</f>
        <v>1.6979166666666667</v>
      </c>
      <c r="I42" s="28">
        <f t="shared" si="8"/>
        <v>61.125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24</v>
      </c>
      <c r="E43" s="25">
        <f t="shared" si="5"/>
        <v>24</v>
      </c>
      <c r="F43" s="23" t="str">
        <f t="shared" si="6"/>
        <v>MARGOT</v>
      </c>
      <c r="G43" s="26">
        <f t="shared" si="7"/>
        <v>40.75</v>
      </c>
      <c r="H43" s="27">
        <f>F4/SUM(J41:J55)</f>
        <v>1.6979166666666667</v>
      </c>
      <c r="I43" s="28">
        <f t="shared" si="8"/>
        <v>40.75</v>
      </c>
      <c r="J43" s="24">
        <f t="shared" si="9"/>
        <v>24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40.75</v>
      </c>
      <c r="H44" s="27">
        <f>F4/SUM(J41:J55)</f>
        <v>1.6979166666666667</v>
      </c>
      <c r="I44" s="28">
        <f t="shared" si="8"/>
        <v>40.75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81.5</v>
      </c>
      <c r="H45" s="27">
        <f>F4/SUM(J41:J55)</f>
        <v>1.6979166666666667</v>
      </c>
      <c r="I45" s="28">
        <f t="shared" si="8"/>
        <v>81.5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8</v>
      </c>
      <c r="C46" s="25">
        <f t="shared" si="4"/>
        <v>48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48</v>
      </c>
      <c r="F46" s="23" t="str">
        <f t="shared" si="6"/>
        <v>FERNANDO</v>
      </c>
      <c r="G46" s="26">
        <f t="shared" si="7"/>
        <v>81.5</v>
      </c>
      <c r="H46" s="27">
        <f>F4/SUM(J41:J55)</f>
        <v>1.6979166666666667</v>
      </c>
      <c r="I46" s="28">
        <f t="shared" si="8"/>
        <v>81.5</v>
      </c>
      <c r="J46" s="24">
        <f t="shared" si="9"/>
        <v>48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81.5</v>
      </c>
      <c r="H47" s="27">
        <f>F4/SUM(J41:J55)</f>
        <v>1.6979166666666667</v>
      </c>
      <c r="I47" s="28">
        <f t="shared" si="8"/>
        <v>81.5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40.75</v>
      </c>
      <c r="H48" s="27">
        <f>F4/SUM(J41:J55)</f>
        <v>1.6979166666666667</v>
      </c>
      <c r="I48" s="28">
        <f t="shared" si="8"/>
        <v>40.75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81.5</v>
      </c>
      <c r="H49" s="27">
        <f>F4/SUM(J41:J55)</f>
        <v>1.6979166666666667</v>
      </c>
      <c r="I49" s="28">
        <f t="shared" si="8"/>
        <v>81.5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61.125</v>
      </c>
      <c r="H50" s="27">
        <f>F4/SUM(J41:J55)</f>
        <v>1.6979166666666667</v>
      </c>
      <c r="I50" s="28">
        <f t="shared" si="8"/>
        <v>61.125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61.125</v>
      </c>
      <c r="H51" s="27">
        <f>F4/SUM(J41:J55)</f>
        <v>1.6979166666666667</v>
      </c>
      <c r="I51" s="28">
        <f t="shared" si="8"/>
        <v>61.125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61.125</v>
      </c>
      <c r="H52" s="27">
        <f>F4/SUM(J41:J55)</f>
        <v>1.6979166666666667</v>
      </c>
      <c r="I52" s="28">
        <f t="shared" si="8"/>
        <v>61.125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4</v>
      </c>
      <c r="C53" s="25">
        <f t="shared" si="4"/>
        <v>24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24</v>
      </c>
      <c r="F53" s="23" t="str">
        <f t="shared" si="6"/>
        <v>PORFIRIO</v>
      </c>
      <c r="G53" s="26">
        <f t="shared" si="7"/>
        <v>40.75</v>
      </c>
      <c r="H53" s="27">
        <f>F4/SUM(J41:J55)</f>
        <v>1.6979166666666667</v>
      </c>
      <c r="I53" s="28">
        <f t="shared" si="8"/>
        <v>40.75</v>
      </c>
      <c r="J53" s="24">
        <f t="shared" si="9"/>
        <v>24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1.6979166666666667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1.6979166666666667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48</v>
      </c>
      <c r="E4" s="1"/>
      <c r="F4" s="7">
        <v>370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36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12</v>
      </c>
      <c r="E7" s="1"/>
      <c r="F7" s="42" t="s">
        <v>38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48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>
        <f t="shared" si="0"/>
        <v>36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48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12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48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36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18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>
        <v>4</v>
      </c>
      <c r="C16" s="5" t="s">
        <v>37</v>
      </c>
      <c r="D16" s="6">
        <f t="shared" si="0"/>
        <v>24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372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>
        <v>7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42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>
        <v>1</v>
      </c>
      <c r="G26" s="11"/>
      <c r="H26" s="11"/>
      <c r="I26" s="11"/>
      <c r="J26" s="11"/>
      <c r="K26" s="11"/>
      <c r="L26" s="11"/>
      <c r="M26" s="11"/>
      <c r="N26" s="11"/>
      <c r="O26" s="16">
        <f t="shared" si="2"/>
        <v>12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>
        <v>1</v>
      </c>
      <c r="G30" s="18"/>
      <c r="H30" s="18"/>
      <c r="I30" s="18"/>
      <c r="J30" s="18"/>
      <c r="K30" s="18"/>
      <c r="L30" s="18"/>
      <c r="M30" s="11"/>
      <c r="N30" s="18"/>
      <c r="O30" s="16">
        <f t="shared" si="2"/>
        <v>12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>
        <v>1</v>
      </c>
      <c r="G33" s="18"/>
      <c r="H33" s="18"/>
      <c r="I33" s="18"/>
      <c r="J33" s="18"/>
      <c r="K33" s="18"/>
      <c r="L33" s="18"/>
      <c r="M33" s="18"/>
      <c r="N33" s="18"/>
      <c r="O33" s="16">
        <f t="shared" si="2"/>
        <v>18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>
        <v>1</v>
      </c>
      <c r="I34" s="11"/>
      <c r="J34" s="11">
        <v>1</v>
      </c>
      <c r="K34" s="11"/>
      <c r="L34" s="11"/>
      <c r="M34" s="11"/>
      <c r="N34" s="11"/>
      <c r="O34" s="16">
        <f t="shared" si="2"/>
        <v>30</v>
      </c>
      <c r="P34" s="17" t="s">
        <v>30</v>
      </c>
      <c r="Q34" s="1"/>
    </row>
    <row r="35" spans="1:17" ht="15.75" customHeight="1" x14ac:dyDescent="0.25">
      <c r="A35" s="15" t="str">
        <f t="shared" si="1"/>
        <v>PORFIRIO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47.741935483870968</v>
      </c>
      <c r="H41" s="27">
        <f>F4/SUM(J41:J55)</f>
        <v>0.9946236559139785</v>
      </c>
      <c r="I41" s="28">
        <f t="shared" ref="I41:I55" si="8">IF(G41&lt;0,0,G41)</f>
        <v>47.741935483870968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35.806451612903224</v>
      </c>
      <c r="H42" s="27">
        <f>F4/SUM(J41:J55)</f>
        <v>0.9946236559139785</v>
      </c>
      <c r="I42" s="28">
        <f t="shared" si="8"/>
        <v>35.806451612903224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42</v>
      </c>
      <c r="E43" s="25">
        <f t="shared" si="5"/>
        <v>-6</v>
      </c>
      <c r="F43" s="23" t="str">
        <f t="shared" si="6"/>
        <v>MARGOT</v>
      </c>
      <c r="G43" s="26">
        <f t="shared" si="7"/>
        <v>-5.967741935483871</v>
      </c>
      <c r="H43" s="27">
        <f>F4/SUM(J41:J55)</f>
        <v>0.9946236559139785</v>
      </c>
      <c r="I43" s="28">
        <f t="shared" si="8"/>
        <v>0</v>
      </c>
      <c r="J43" s="24">
        <f t="shared" si="9"/>
        <v>0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12</v>
      </c>
      <c r="E44" s="25">
        <f t="shared" si="5"/>
        <v>12</v>
      </c>
      <c r="F44" s="23" t="str">
        <f t="shared" si="6"/>
        <v>RODRIGO</v>
      </c>
      <c r="G44" s="26">
        <f t="shared" si="7"/>
        <v>11.935483870967742</v>
      </c>
      <c r="H44" s="27">
        <f>F4/SUM(J41:J55)</f>
        <v>0.9946236559139785</v>
      </c>
      <c r="I44" s="28">
        <f t="shared" si="8"/>
        <v>11.935483870967742</v>
      </c>
      <c r="J44" s="24">
        <f t="shared" si="9"/>
        <v>12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47.741935483870968</v>
      </c>
      <c r="H45" s="27">
        <f>F4/SUM(J41:J55)</f>
        <v>0.9946236559139785</v>
      </c>
      <c r="I45" s="28">
        <f t="shared" si="8"/>
        <v>47.741935483870968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>
        <f t="shared" si="7"/>
        <v>35.806451612903224</v>
      </c>
      <c r="H46" s="27">
        <f>F4/SUM(J41:J55)</f>
        <v>0.9946236559139785</v>
      </c>
      <c r="I46" s="28">
        <f t="shared" si="8"/>
        <v>35.806451612903224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47.741935483870968</v>
      </c>
      <c r="H47" s="27">
        <f>F4/SUM(J41:J55)</f>
        <v>0.9946236559139785</v>
      </c>
      <c r="I47" s="28">
        <f t="shared" si="8"/>
        <v>47.741935483870968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12</v>
      </c>
      <c r="E48" s="25">
        <f t="shared" si="5"/>
        <v>12</v>
      </c>
      <c r="F48" s="23" t="str">
        <f t="shared" si="6"/>
        <v>RICARDO</v>
      </c>
      <c r="G48" s="26">
        <f t="shared" si="7"/>
        <v>11.935483870967742</v>
      </c>
      <c r="H48" s="27">
        <f>F4/SUM(J41:J55)</f>
        <v>0.9946236559139785</v>
      </c>
      <c r="I48" s="28">
        <f t="shared" si="8"/>
        <v>11.935483870967742</v>
      </c>
      <c r="J48" s="24">
        <f t="shared" si="9"/>
        <v>12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47.741935483870968</v>
      </c>
      <c r="H49" s="27">
        <f>F4/SUM(J41:J55)</f>
        <v>0.9946236559139785</v>
      </c>
      <c r="I49" s="28">
        <f t="shared" si="8"/>
        <v>47.741935483870968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35.806451612903224</v>
      </c>
      <c r="H50" s="27">
        <f>F4/SUM(J41:J55)</f>
        <v>0.9946236559139785</v>
      </c>
      <c r="I50" s="28">
        <f t="shared" si="8"/>
        <v>35.806451612903224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18</v>
      </c>
      <c r="E51" s="25">
        <f t="shared" si="5"/>
        <v>18</v>
      </c>
      <c r="F51" s="23" t="str">
        <f t="shared" si="6"/>
        <v>OBETH</v>
      </c>
      <c r="G51" s="26">
        <f t="shared" si="7"/>
        <v>17.903225806451612</v>
      </c>
      <c r="H51" s="27">
        <f>F4/SUM(J41:J55)</f>
        <v>0.9946236559139785</v>
      </c>
      <c r="I51" s="28">
        <f t="shared" si="8"/>
        <v>17.903225806451612</v>
      </c>
      <c r="J51" s="24">
        <f t="shared" si="9"/>
        <v>18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30</v>
      </c>
      <c r="E52" s="25">
        <f t="shared" si="5"/>
        <v>6</v>
      </c>
      <c r="F52" s="23" t="str">
        <f t="shared" si="6"/>
        <v>FRANCISCO</v>
      </c>
      <c r="G52" s="26">
        <f t="shared" si="7"/>
        <v>5.967741935483871</v>
      </c>
      <c r="H52" s="27">
        <f>F4/SUM(J41:J55)</f>
        <v>0.9946236559139785</v>
      </c>
      <c r="I52" s="28">
        <f t="shared" si="8"/>
        <v>5.967741935483871</v>
      </c>
      <c r="J52" s="24">
        <f t="shared" si="9"/>
        <v>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4</v>
      </c>
      <c r="C53" s="25">
        <f t="shared" si="4"/>
        <v>24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24</v>
      </c>
      <c r="F53" s="23" t="str">
        <f t="shared" si="6"/>
        <v>PORFIRIO</v>
      </c>
      <c r="G53" s="26">
        <f t="shared" si="7"/>
        <v>23.870967741935484</v>
      </c>
      <c r="H53" s="27">
        <f>F4/SUM(J41:J55)</f>
        <v>0.9946236559139785</v>
      </c>
      <c r="I53" s="28">
        <f t="shared" si="8"/>
        <v>23.870967741935484</v>
      </c>
      <c r="J53" s="24">
        <f t="shared" si="9"/>
        <v>24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0.9946236559139785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0.9946236559139785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124</v>
      </c>
      <c r="E4" s="1"/>
      <c r="F4" s="7">
        <v>897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93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124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8</v>
      </c>
      <c r="C7" s="5" t="s">
        <v>12</v>
      </c>
      <c r="D7" s="6">
        <f t="shared" si="0"/>
        <v>124</v>
      </c>
      <c r="E7" s="1"/>
      <c r="F7" s="42" t="s">
        <v>65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/>
      <c r="C8" s="5" t="s">
        <v>11</v>
      </c>
      <c r="D8" s="6">
        <f t="shared" si="0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37</v>
      </c>
      <c r="D9" s="6">
        <f t="shared" si="0"/>
        <v>93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6</v>
      </c>
      <c r="C10" s="5" t="s">
        <v>43</v>
      </c>
      <c r="D10" s="6">
        <f t="shared" si="0"/>
        <v>62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6</v>
      </c>
      <c r="C11" s="5" t="s">
        <v>45</v>
      </c>
      <c r="D11" s="6">
        <f t="shared" si="0"/>
        <v>93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6</v>
      </c>
      <c r="C12" s="5" t="s">
        <v>64</v>
      </c>
      <c r="D12" s="6">
        <f t="shared" si="0"/>
        <v>93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66</v>
      </c>
      <c r="D13" s="6">
        <f t="shared" si="0"/>
        <v>93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/>
      <c r="C14" s="5"/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/>
      <c r="C15" s="5"/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899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/>
      <c r="M21" s="10"/>
      <c r="N21" s="10"/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/>
      <c r="M22" s="13"/>
      <c r="N22" s="13"/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NAYELI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RICARDO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PORFIRIO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PAULINA</v>
      </c>
      <c r="B29" s="18"/>
      <c r="C29" s="18"/>
      <c r="D29" s="18"/>
      <c r="E29" s="18"/>
      <c r="F29" s="18"/>
      <c r="G29" s="18"/>
      <c r="H29" s="18">
        <v>1</v>
      </c>
      <c r="I29" s="18"/>
      <c r="J29" s="18"/>
      <c r="K29" s="18"/>
      <c r="L29" s="18"/>
      <c r="M29" s="11"/>
      <c r="N29" s="18"/>
      <c r="O29" s="16">
        <f t="shared" si="2"/>
        <v>12</v>
      </c>
      <c r="P29" s="17" t="s">
        <v>30</v>
      </c>
      <c r="Q29" s="1"/>
    </row>
    <row r="30" spans="1:17" ht="15.75" customHeight="1" x14ac:dyDescent="0.25">
      <c r="A30" s="15" t="str">
        <f t="shared" si="1"/>
        <v>KEVIN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MISHEL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VALERIA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>
        <f t="shared" si="1"/>
        <v>0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>
        <f t="shared" si="1"/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123.72413793103448</v>
      </c>
      <c r="H41" s="27">
        <f>F4/SUM(J41:J55)</f>
        <v>2.5775862068965516</v>
      </c>
      <c r="I41" s="28">
        <f t="shared" ref="I41:I55" si="8">IF(G41&lt;0,0,G41)</f>
        <v>123.72413793103448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92.793103448275858</v>
      </c>
      <c r="H42" s="27">
        <f>F4/SUM(J41:J55)</f>
        <v>2.5775862068965516</v>
      </c>
      <c r="I42" s="28">
        <f t="shared" si="8"/>
        <v>92.793103448275858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123.72413793103448</v>
      </c>
      <c r="H43" s="27">
        <f>F4/SUM(J41:J55)</f>
        <v>2.5775862068965516</v>
      </c>
      <c r="I43" s="28">
        <f t="shared" si="8"/>
        <v>123.72413793103448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8</v>
      </c>
      <c r="C44" s="25">
        <f t="shared" si="4"/>
        <v>48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48</v>
      </c>
      <c r="F44" s="23" t="str">
        <f t="shared" si="6"/>
        <v>NAYELI</v>
      </c>
      <c r="G44" s="26">
        <f t="shared" si="7"/>
        <v>123.72413793103448</v>
      </c>
      <c r="H44" s="27">
        <f>F4/SUM(J41:J55)</f>
        <v>2.5775862068965516</v>
      </c>
      <c r="I44" s="28">
        <f t="shared" si="8"/>
        <v>123.72413793103448</v>
      </c>
      <c r="J44" s="24">
        <f t="shared" si="9"/>
        <v>48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0</v>
      </c>
      <c r="C45" s="25">
        <f t="shared" si="4"/>
        <v>0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0</v>
      </c>
      <c r="F45" s="23" t="str">
        <f t="shared" si="6"/>
        <v>RICARDO</v>
      </c>
      <c r="G45" s="26">
        <f t="shared" si="7"/>
        <v>0</v>
      </c>
      <c r="H45" s="27">
        <f>F4/SUM(J41:J55)</f>
        <v>2.5775862068965516</v>
      </c>
      <c r="I45" s="28">
        <f t="shared" si="8"/>
        <v>0</v>
      </c>
      <c r="J45" s="24">
        <f t="shared" si="9"/>
        <v>0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PORFIRIO</v>
      </c>
      <c r="G46" s="26">
        <f t="shared" si="7"/>
        <v>92.793103448275858</v>
      </c>
      <c r="H46" s="27">
        <f>F4/SUM(J41:J55)</f>
        <v>2.5775862068965516</v>
      </c>
      <c r="I46" s="28">
        <f t="shared" si="8"/>
        <v>92.793103448275858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6</v>
      </c>
      <c r="C47" s="25">
        <f t="shared" si="4"/>
        <v>36</v>
      </c>
      <c r="D47" s="25">
        <f>(B10*B29*B21)+(B10*C29*C21)+(B10*D29*D21)+(B10*E29*E21)+(B10*F29*F21)+(B10*G29*G21)+(B10*H29*H21)+(B10*I29*I21)+(B10*J29*J21)+(B10*K29*K21)+(B10*L29*L21)+(B10*M29*M21)+(B10*N29*N21)</f>
        <v>12</v>
      </c>
      <c r="E47" s="25">
        <f t="shared" si="5"/>
        <v>24</v>
      </c>
      <c r="F47" s="23" t="str">
        <f t="shared" si="6"/>
        <v>PAULINA</v>
      </c>
      <c r="G47" s="26">
        <f t="shared" si="7"/>
        <v>61.862068965517238</v>
      </c>
      <c r="H47" s="27">
        <f>F4/SUM(J41:J55)</f>
        <v>2.5775862068965516</v>
      </c>
      <c r="I47" s="28">
        <f t="shared" si="8"/>
        <v>61.862068965517238</v>
      </c>
      <c r="J47" s="24">
        <f t="shared" si="9"/>
        <v>24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6</v>
      </c>
      <c r="C48" s="25">
        <f t="shared" si="4"/>
        <v>36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36</v>
      </c>
      <c r="F48" s="23" t="str">
        <f t="shared" si="6"/>
        <v>KEVIN</v>
      </c>
      <c r="G48" s="26">
        <f t="shared" si="7"/>
        <v>92.793103448275858</v>
      </c>
      <c r="H48" s="27">
        <f>F4/SUM(J41:J55)</f>
        <v>2.5775862068965516</v>
      </c>
      <c r="I48" s="28">
        <f t="shared" si="8"/>
        <v>92.793103448275858</v>
      </c>
      <c r="J48" s="24">
        <f t="shared" si="9"/>
        <v>36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6</v>
      </c>
      <c r="C49" s="25">
        <f t="shared" si="4"/>
        <v>36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36</v>
      </c>
      <c r="F49" s="23" t="str">
        <f t="shared" si="6"/>
        <v>MISHEL</v>
      </c>
      <c r="G49" s="26">
        <f t="shared" si="7"/>
        <v>92.793103448275858</v>
      </c>
      <c r="H49" s="27">
        <f>F4/SUM(J41:J55)</f>
        <v>2.5775862068965516</v>
      </c>
      <c r="I49" s="28">
        <f t="shared" si="8"/>
        <v>92.793103448275858</v>
      </c>
      <c r="J49" s="24">
        <f t="shared" si="9"/>
        <v>36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VALERIA</v>
      </c>
      <c r="G50" s="26">
        <f t="shared" si="7"/>
        <v>92.793103448275858</v>
      </c>
      <c r="H50" s="27">
        <f>F4/SUM(J41:J55)</f>
        <v>2.5775862068965516</v>
      </c>
      <c r="I50" s="28">
        <f t="shared" si="8"/>
        <v>92.793103448275858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0</v>
      </c>
      <c r="C51" s="25">
        <f t="shared" si="4"/>
        <v>0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0</v>
      </c>
      <c r="F51" s="23">
        <f t="shared" si="6"/>
        <v>0</v>
      </c>
      <c r="G51" s="26">
        <f t="shared" si="7"/>
        <v>0</v>
      </c>
      <c r="H51" s="27">
        <f>F4/SUM(J41:J55)</f>
        <v>2.5775862068965516</v>
      </c>
      <c r="I51" s="28">
        <f t="shared" si="8"/>
        <v>0</v>
      </c>
      <c r="J51" s="24">
        <f t="shared" si="9"/>
        <v>0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0</v>
      </c>
      <c r="C52" s="25">
        <f t="shared" si="4"/>
        <v>0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0</v>
      </c>
      <c r="F52" s="23">
        <f t="shared" si="6"/>
        <v>0</v>
      </c>
      <c r="G52" s="26">
        <f t="shared" si="7"/>
        <v>0</v>
      </c>
      <c r="H52" s="27">
        <f>F4/SUM(J41:J55)</f>
        <v>2.5775862068965516</v>
      </c>
      <c r="I52" s="28">
        <f t="shared" si="8"/>
        <v>0</v>
      </c>
      <c r="J52" s="24">
        <f t="shared" si="9"/>
        <v>0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2.5775862068965516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2.5775862068965516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2.5775862068965516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47</v>
      </c>
      <c r="E4" s="1"/>
      <c r="F4" s="7">
        <v>1100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87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70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35</v>
      </c>
      <c r="E7" s="1"/>
      <c r="F7" s="42" t="s">
        <v>67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116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8</v>
      </c>
      <c r="C9" s="5" t="s">
        <v>9</v>
      </c>
      <c r="D9" s="6">
        <f t="shared" si="0"/>
        <v>140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116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35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140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105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52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87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>
        <v>4</v>
      </c>
      <c r="C16" s="5" t="s">
        <v>68</v>
      </c>
      <c r="D16" s="6">
        <f t="shared" si="0"/>
        <v>70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1100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>
        <v>1</v>
      </c>
      <c r="D23" s="11"/>
      <c r="E23" s="11"/>
      <c r="F23" s="11">
        <v>1</v>
      </c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32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>
        <v>1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6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>
        <v>1</v>
      </c>
      <c r="G25" s="11"/>
      <c r="H25" s="11"/>
      <c r="I25" s="11"/>
      <c r="J25" s="11"/>
      <c r="K25" s="11"/>
      <c r="L25" s="11"/>
      <c r="M25" s="11"/>
      <c r="N25" s="11"/>
      <c r="O25" s="16">
        <f t="shared" si="2"/>
        <v>24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>
        <v>1</v>
      </c>
      <c r="G26" s="11"/>
      <c r="H26" s="11"/>
      <c r="I26" s="11"/>
      <c r="J26" s="11"/>
      <c r="K26" s="11"/>
      <c r="L26" s="11"/>
      <c r="M26" s="11"/>
      <c r="N26" s="11"/>
      <c r="O26" s="16">
        <f t="shared" si="2"/>
        <v>12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>
        <v>1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8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>
        <v>1</v>
      </c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8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>
        <v>1</v>
      </c>
      <c r="G30" s="18"/>
      <c r="H30" s="18"/>
      <c r="I30" s="18"/>
      <c r="J30" s="18"/>
      <c r="K30" s="18"/>
      <c r="L30" s="18"/>
      <c r="M30" s="11"/>
      <c r="N30" s="18"/>
      <c r="O30" s="16">
        <f t="shared" si="2"/>
        <v>12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>
        <v>1</v>
      </c>
      <c r="G33" s="18"/>
      <c r="H33" s="18"/>
      <c r="I33" s="18"/>
      <c r="J33" s="18"/>
      <c r="K33" s="18"/>
      <c r="L33" s="18"/>
      <c r="M33" s="18"/>
      <c r="N33" s="18"/>
      <c r="O33" s="16">
        <f t="shared" si="2"/>
        <v>18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>
        <v>1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6</v>
      </c>
      <c r="P34" s="17" t="s">
        <v>30</v>
      </c>
      <c r="Q34" s="1"/>
    </row>
    <row r="35" spans="1:17" ht="15.75" customHeight="1" x14ac:dyDescent="0.25">
      <c r="A35" s="15" t="str">
        <f t="shared" si="1"/>
        <v>Porfirio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32</v>
      </c>
      <c r="E41" s="25">
        <f t="shared" ref="E41:E55" si="5">C41-D41</f>
        <v>16</v>
      </c>
      <c r="F41" s="23" t="str">
        <f t="shared" ref="F41:F55" si="6">C4</f>
        <v>IVETH</v>
      </c>
      <c r="G41" s="26">
        <f t="shared" ref="G41:G55" si="7">H41*E41</f>
        <v>46.560846560846564</v>
      </c>
      <c r="H41" s="27">
        <f>F4/SUM(J41:J55)</f>
        <v>2.9100529100529102</v>
      </c>
      <c r="I41" s="28">
        <f t="shared" ref="I41:I55" si="8">IF(G41&lt;0,0,G41)</f>
        <v>46.560846560846564</v>
      </c>
      <c r="J41" s="24">
        <f t="shared" ref="J41:J55" si="9">IF(E41&lt;0,0,E41)</f>
        <v>16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6</v>
      </c>
      <c r="E42" s="25">
        <f t="shared" si="5"/>
        <v>30</v>
      </c>
      <c r="F42" s="23" t="str">
        <f t="shared" si="6"/>
        <v>EDMUNDO</v>
      </c>
      <c r="G42" s="26">
        <f t="shared" si="7"/>
        <v>87.301587301587304</v>
      </c>
      <c r="H42" s="27">
        <f>F4/SUM(J41:J55)</f>
        <v>2.9100529100529102</v>
      </c>
      <c r="I42" s="28">
        <f t="shared" si="8"/>
        <v>87.301587301587304</v>
      </c>
      <c r="J42" s="24">
        <f t="shared" si="9"/>
        <v>30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24</v>
      </c>
      <c r="E43" s="25">
        <f t="shared" si="5"/>
        <v>24</v>
      </c>
      <c r="F43" s="23" t="str">
        <f t="shared" si="6"/>
        <v>MARGOT</v>
      </c>
      <c r="G43" s="26">
        <f t="shared" si="7"/>
        <v>69.841269841269849</v>
      </c>
      <c r="H43" s="27">
        <f>F4/SUM(J41:J55)</f>
        <v>2.9100529100529102</v>
      </c>
      <c r="I43" s="28">
        <f t="shared" si="8"/>
        <v>69.841269841269849</v>
      </c>
      <c r="J43" s="24">
        <f t="shared" si="9"/>
        <v>24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12</v>
      </c>
      <c r="E44" s="25">
        <f t="shared" si="5"/>
        <v>12</v>
      </c>
      <c r="F44" s="23" t="str">
        <f t="shared" si="6"/>
        <v>RODRIGO</v>
      </c>
      <c r="G44" s="26">
        <f t="shared" si="7"/>
        <v>34.920634920634924</v>
      </c>
      <c r="H44" s="27">
        <f>F4/SUM(J41:J55)</f>
        <v>2.9100529100529102</v>
      </c>
      <c r="I44" s="28">
        <f t="shared" si="8"/>
        <v>34.920634920634924</v>
      </c>
      <c r="J44" s="24">
        <f t="shared" si="9"/>
        <v>12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8</v>
      </c>
      <c r="E45" s="25">
        <f t="shared" si="5"/>
        <v>40</v>
      </c>
      <c r="F45" s="23" t="str">
        <f t="shared" si="6"/>
        <v>LUIS</v>
      </c>
      <c r="G45" s="26">
        <f t="shared" si="7"/>
        <v>116.40211640211641</v>
      </c>
      <c r="H45" s="27">
        <f>F4/SUM(J41:J55)</f>
        <v>2.9100529100529102</v>
      </c>
      <c r="I45" s="28">
        <f t="shared" si="8"/>
        <v>116.40211640211641</v>
      </c>
      <c r="J45" s="24">
        <f t="shared" si="9"/>
        <v>40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8</v>
      </c>
      <c r="C46" s="25">
        <f t="shared" si="4"/>
        <v>48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48</v>
      </c>
      <c r="F46" s="23" t="str">
        <f t="shared" si="6"/>
        <v>FERNANDO</v>
      </c>
      <c r="G46" s="26">
        <f t="shared" si="7"/>
        <v>139.6825396825397</v>
      </c>
      <c r="H46" s="27">
        <f>F4/SUM(J41:J55)</f>
        <v>2.9100529100529102</v>
      </c>
      <c r="I46" s="28">
        <f t="shared" si="8"/>
        <v>139.6825396825397</v>
      </c>
      <c r="J46" s="24">
        <f t="shared" si="9"/>
        <v>48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8</v>
      </c>
      <c r="E47" s="25">
        <f t="shared" si="5"/>
        <v>40</v>
      </c>
      <c r="F47" s="23" t="str">
        <f t="shared" si="6"/>
        <v>JAVIER</v>
      </c>
      <c r="G47" s="26">
        <f t="shared" si="7"/>
        <v>116.40211640211641</v>
      </c>
      <c r="H47" s="27">
        <f>F4/SUM(J41:J55)</f>
        <v>2.9100529100529102</v>
      </c>
      <c r="I47" s="28">
        <f t="shared" si="8"/>
        <v>116.40211640211641</v>
      </c>
      <c r="J47" s="24">
        <f t="shared" si="9"/>
        <v>40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12</v>
      </c>
      <c r="E48" s="25">
        <f t="shared" si="5"/>
        <v>12</v>
      </c>
      <c r="F48" s="23" t="str">
        <f t="shared" si="6"/>
        <v>RICARDO</v>
      </c>
      <c r="G48" s="26">
        <f t="shared" si="7"/>
        <v>34.920634920634924</v>
      </c>
      <c r="H48" s="27">
        <f>F4/SUM(J41:J55)</f>
        <v>2.9100529100529102</v>
      </c>
      <c r="I48" s="28">
        <f t="shared" si="8"/>
        <v>34.920634920634924</v>
      </c>
      <c r="J48" s="24">
        <f t="shared" si="9"/>
        <v>12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139.6825396825397</v>
      </c>
      <c r="H49" s="27">
        <f>F4/SUM(J41:J55)</f>
        <v>2.9100529100529102</v>
      </c>
      <c r="I49" s="28">
        <f t="shared" si="8"/>
        <v>139.6825396825397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104.76190476190477</v>
      </c>
      <c r="H50" s="27">
        <f>F4/SUM(J41:J55)</f>
        <v>2.9100529100529102</v>
      </c>
      <c r="I50" s="28">
        <f t="shared" si="8"/>
        <v>104.76190476190477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18</v>
      </c>
      <c r="E51" s="25">
        <f t="shared" si="5"/>
        <v>18</v>
      </c>
      <c r="F51" s="23" t="str">
        <f t="shared" si="6"/>
        <v>OBETH</v>
      </c>
      <c r="G51" s="26">
        <f t="shared" si="7"/>
        <v>52.380952380952387</v>
      </c>
      <c r="H51" s="27">
        <f>F4/SUM(J41:J55)</f>
        <v>2.9100529100529102</v>
      </c>
      <c r="I51" s="28">
        <f t="shared" si="8"/>
        <v>52.380952380952387</v>
      </c>
      <c r="J51" s="24">
        <f t="shared" si="9"/>
        <v>18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6</v>
      </c>
      <c r="E52" s="25">
        <f t="shared" si="5"/>
        <v>30</v>
      </c>
      <c r="F52" s="23" t="str">
        <f t="shared" si="6"/>
        <v>FRANCISCO</v>
      </c>
      <c r="G52" s="26">
        <f t="shared" si="7"/>
        <v>87.301587301587304</v>
      </c>
      <c r="H52" s="27">
        <f>F4/SUM(J41:J55)</f>
        <v>2.9100529100529102</v>
      </c>
      <c r="I52" s="28">
        <f t="shared" si="8"/>
        <v>87.301587301587304</v>
      </c>
      <c r="J52" s="24">
        <f t="shared" si="9"/>
        <v>30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4</v>
      </c>
      <c r="C53" s="25">
        <f t="shared" si="4"/>
        <v>24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24</v>
      </c>
      <c r="F53" s="23" t="str">
        <f t="shared" si="6"/>
        <v>Porfirio</v>
      </c>
      <c r="G53" s="26">
        <f t="shared" si="7"/>
        <v>69.841269841269849</v>
      </c>
      <c r="H53" s="27">
        <f>F4/SUM(J41:J55)</f>
        <v>2.9100529100529102</v>
      </c>
      <c r="I53" s="28">
        <f t="shared" si="8"/>
        <v>69.841269841269849</v>
      </c>
      <c r="J53" s="24">
        <f t="shared" si="9"/>
        <v>24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2.9100529100529102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2.9100529100529102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76</v>
      </c>
      <c r="E4" s="1"/>
      <c r="F4" s="7">
        <v>560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28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76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19</v>
      </c>
      <c r="E7" s="1"/>
      <c r="F7" s="42" t="s">
        <v>48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38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37</v>
      </c>
      <c r="D9" s="6">
        <f t="shared" si="0"/>
        <v>57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76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28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28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57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559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>
        <v>1</v>
      </c>
      <c r="G24" s="11"/>
      <c r="H24" s="11"/>
      <c r="I24" s="11"/>
      <c r="J24" s="11"/>
      <c r="K24" s="11"/>
      <c r="L24" s="11"/>
      <c r="M24" s="11"/>
      <c r="N24" s="11"/>
      <c r="O24" s="16">
        <f t="shared" si="2"/>
        <v>18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>
        <v>1</v>
      </c>
      <c r="G26" s="11"/>
      <c r="H26" s="11"/>
      <c r="I26" s="11"/>
      <c r="J26" s="11"/>
      <c r="K26" s="11"/>
      <c r="L26" s="11"/>
      <c r="M26" s="11"/>
      <c r="N26" s="11"/>
      <c r="O26" s="16">
        <f t="shared" si="2"/>
        <v>12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>
        <v>1</v>
      </c>
      <c r="G27" s="11"/>
      <c r="H27" s="11"/>
      <c r="I27" s="11"/>
      <c r="J27" s="11"/>
      <c r="K27" s="11"/>
      <c r="L27" s="11"/>
      <c r="M27" s="11"/>
      <c r="N27" s="11"/>
      <c r="O27" s="16">
        <f t="shared" si="2"/>
        <v>24</v>
      </c>
      <c r="P27" s="17" t="s">
        <v>30</v>
      </c>
      <c r="Q27" s="1"/>
    </row>
    <row r="28" spans="1:17" ht="15.75" customHeight="1" x14ac:dyDescent="0.25">
      <c r="A28" s="15" t="str">
        <f t="shared" si="1"/>
        <v>PORFIRIO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>
        <v>6</v>
      </c>
      <c r="E30" s="18"/>
      <c r="F30" s="18">
        <v>1</v>
      </c>
      <c r="G30" s="18"/>
      <c r="H30" s="18"/>
      <c r="I30" s="18"/>
      <c r="J30" s="18"/>
      <c r="K30" s="18"/>
      <c r="L30" s="18"/>
      <c r="M30" s="11"/>
      <c r="N30" s="18"/>
      <c r="O30" s="16">
        <f t="shared" si="2"/>
        <v>36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>
        <v>1</v>
      </c>
      <c r="G32" s="19"/>
      <c r="H32" s="19"/>
      <c r="I32" s="20"/>
      <c r="J32" s="19"/>
      <c r="K32" s="19"/>
      <c r="L32" s="19"/>
      <c r="M32" s="19"/>
      <c r="N32" s="19"/>
      <c r="O32" s="16">
        <f t="shared" si="2"/>
        <v>18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>
        <v>1</v>
      </c>
      <c r="G33" s="18"/>
      <c r="H33" s="18"/>
      <c r="I33" s="18"/>
      <c r="J33" s="18"/>
      <c r="K33" s="18"/>
      <c r="L33" s="18"/>
      <c r="M33" s="18"/>
      <c r="N33" s="18"/>
      <c r="O33" s="16">
        <f t="shared" si="2"/>
        <v>18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75.932203389830505</v>
      </c>
      <c r="H41" s="27">
        <f>F4/SUM(J41:J55)</f>
        <v>1.5819209039548023</v>
      </c>
      <c r="I41" s="28">
        <f t="shared" ref="I41:I55" si="8">IF(G41&lt;0,0,G41)</f>
        <v>75.932203389830505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18</v>
      </c>
      <c r="E42" s="25">
        <f t="shared" si="5"/>
        <v>18</v>
      </c>
      <c r="F42" s="23" t="str">
        <f t="shared" si="6"/>
        <v>EDMUNDO</v>
      </c>
      <c r="G42" s="26">
        <f t="shared" si="7"/>
        <v>28.474576271186443</v>
      </c>
      <c r="H42" s="27">
        <f>F4/SUM(J41:J55)</f>
        <v>1.5819209039548023</v>
      </c>
      <c r="I42" s="28">
        <f t="shared" si="8"/>
        <v>28.474576271186443</v>
      </c>
      <c r="J42" s="24">
        <f t="shared" si="9"/>
        <v>18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75.932203389830505</v>
      </c>
      <c r="H43" s="27">
        <f>F4/SUM(J41:J55)</f>
        <v>1.5819209039548023</v>
      </c>
      <c r="I43" s="28">
        <f t="shared" si="8"/>
        <v>75.932203389830505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12</v>
      </c>
      <c r="E44" s="25">
        <f t="shared" si="5"/>
        <v>12</v>
      </c>
      <c r="F44" s="23" t="str">
        <f t="shared" si="6"/>
        <v>RODRIGO</v>
      </c>
      <c r="G44" s="26">
        <f t="shared" si="7"/>
        <v>18.983050847457626</v>
      </c>
      <c r="H44" s="27">
        <f>F4/SUM(J41:J55)</f>
        <v>1.5819209039548023</v>
      </c>
      <c r="I44" s="28">
        <f t="shared" si="8"/>
        <v>18.983050847457626</v>
      </c>
      <c r="J44" s="24">
        <f t="shared" si="9"/>
        <v>12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24</v>
      </c>
      <c r="E45" s="25">
        <f t="shared" si="5"/>
        <v>24</v>
      </c>
      <c r="F45" s="23" t="str">
        <f t="shared" si="6"/>
        <v>LUIS</v>
      </c>
      <c r="G45" s="26">
        <f t="shared" si="7"/>
        <v>37.966101694915253</v>
      </c>
      <c r="H45" s="27">
        <f>F4/SUM(J41:J55)</f>
        <v>1.5819209039548023</v>
      </c>
      <c r="I45" s="28">
        <f t="shared" si="8"/>
        <v>37.966101694915253</v>
      </c>
      <c r="J45" s="24">
        <f t="shared" si="9"/>
        <v>24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PORFIRIO</v>
      </c>
      <c r="G46" s="26">
        <f t="shared" si="7"/>
        <v>56.949152542372886</v>
      </c>
      <c r="H46" s="27">
        <f>F4/SUM(J41:J55)</f>
        <v>1.5819209039548023</v>
      </c>
      <c r="I46" s="28">
        <f t="shared" si="8"/>
        <v>56.949152542372886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75.932203389830505</v>
      </c>
      <c r="H47" s="27">
        <f>F4/SUM(J41:J55)</f>
        <v>1.5819209039548023</v>
      </c>
      <c r="I47" s="28">
        <f t="shared" si="8"/>
        <v>75.932203389830505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36</v>
      </c>
      <c r="E48" s="25">
        <f t="shared" si="5"/>
        <v>-12</v>
      </c>
      <c r="F48" s="23" t="str">
        <f t="shared" si="6"/>
        <v>RICARDO</v>
      </c>
      <c r="G48" s="26">
        <f t="shared" si="7"/>
        <v>-18.983050847457626</v>
      </c>
      <c r="H48" s="27">
        <f>F4/SUM(J41:J55)</f>
        <v>1.5819209039548023</v>
      </c>
      <c r="I48" s="28">
        <f t="shared" si="8"/>
        <v>0</v>
      </c>
      <c r="J48" s="24">
        <f t="shared" si="9"/>
        <v>0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75.932203389830505</v>
      </c>
      <c r="H49" s="27">
        <f>F4/SUM(J41:J55)</f>
        <v>1.5819209039548023</v>
      </c>
      <c r="I49" s="28">
        <f t="shared" si="8"/>
        <v>75.932203389830505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18</v>
      </c>
      <c r="E50" s="25">
        <f t="shared" si="5"/>
        <v>18</v>
      </c>
      <c r="F50" s="23" t="str">
        <f t="shared" si="6"/>
        <v>ENRIQUE</v>
      </c>
      <c r="G50" s="26">
        <f t="shared" si="7"/>
        <v>28.474576271186443</v>
      </c>
      <c r="H50" s="27">
        <f>F4/SUM(J41:J55)</f>
        <v>1.5819209039548023</v>
      </c>
      <c r="I50" s="28">
        <f t="shared" si="8"/>
        <v>28.474576271186443</v>
      </c>
      <c r="J50" s="24">
        <f t="shared" si="9"/>
        <v>18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18</v>
      </c>
      <c r="E51" s="25">
        <f t="shared" si="5"/>
        <v>18</v>
      </c>
      <c r="F51" s="23" t="str">
        <f t="shared" si="6"/>
        <v>OBETH</v>
      </c>
      <c r="G51" s="26">
        <f t="shared" si="7"/>
        <v>28.474576271186443</v>
      </c>
      <c r="H51" s="27">
        <f>F4/SUM(J41:J55)</f>
        <v>1.5819209039548023</v>
      </c>
      <c r="I51" s="28">
        <f t="shared" si="8"/>
        <v>28.474576271186443</v>
      </c>
      <c r="J51" s="24">
        <f t="shared" si="9"/>
        <v>18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56.949152542372886</v>
      </c>
      <c r="H52" s="27">
        <f>F4/SUM(J41:J55)</f>
        <v>1.5819209039548023</v>
      </c>
      <c r="I52" s="28">
        <f t="shared" si="8"/>
        <v>56.949152542372886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1.5819209039548023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1.5819209039548023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1.5819209039548023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51</v>
      </c>
      <c r="E4" s="1"/>
      <c r="F4" s="7">
        <v>500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38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51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26</v>
      </c>
      <c r="E7" s="1"/>
      <c r="F7" s="42" t="s">
        <v>38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51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47</v>
      </c>
      <c r="D9" s="6">
        <f t="shared" si="0"/>
        <v>38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51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26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51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38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38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38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497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 xml:space="preserve">PORFIRIO 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51.282051282051285</v>
      </c>
      <c r="H41" s="27">
        <f>F4/SUM(J41:J55)</f>
        <v>1.0683760683760684</v>
      </c>
      <c r="I41" s="28">
        <f t="shared" ref="I41:I55" si="8">IF(G41&lt;0,0,G41)</f>
        <v>51.282051282051285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38.46153846153846</v>
      </c>
      <c r="H42" s="27">
        <f>F4/SUM(J41:J55)</f>
        <v>1.0683760683760684</v>
      </c>
      <c r="I42" s="28">
        <f t="shared" si="8"/>
        <v>38.46153846153846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51.282051282051285</v>
      </c>
      <c r="H43" s="27">
        <f>F4/SUM(J41:J55)</f>
        <v>1.0683760683760684</v>
      </c>
      <c r="I43" s="28">
        <f t="shared" si="8"/>
        <v>51.282051282051285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25.641025641025642</v>
      </c>
      <c r="H44" s="27">
        <f>F4/SUM(J41:J55)</f>
        <v>1.0683760683760684</v>
      </c>
      <c r="I44" s="28">
        <f t="shared" si="8"/>
        <v>25.641025641025642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51.282051282051285</v>
      </c>
      <c r="H45" s="27">
        <f>F4/SUM(J41:J55)</f>
        <v>1.0683760683760684</v>
      </c>
      <c r="I45" s="28">
        <f t="shared" si="8"/>
        <v>51.282051282051285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 xml:space="preserve">PORFIRIO </v>
      </c>
      <c r="G46" s="26">
        <f t="shared" si="7"/>
        <v>38.46153846153846</v>
      </c>
      <c r="H46" s="27">
        <f>F4/SUM(J41:J55)</f>
        <v>1.0683760683760684</v>
      </c>
      <c r="I46" s="28">
        <f t="shared" si="8"/>
        <v>38.46153846153846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51.282051282051285</v>
      </c>
      <c r="H47" s="27">
        <f>F4/SUM(J41:J55)</f>
        <v>1.0683760683760684</v>
      </c>
      <c r="I47" s="28">
        <f t="shared" si="8"/>
        <v>51.282051282051285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25.641025641025642</v>
      </c>
      <c r="H48" s="27">
        <f>F4/SUM(J41:J55)</f>
        <v>1.0683760683760684</v>
      </c>
      <c r="I48" s="28">
        <f t="shared" si="8"/>
        <v>25.641025641025642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51.282051282051285</v>
      </c>
      <c r="H49" s="27">
        <f>F4/SUM(J41:J55)</f>
        <v>1.0683760683760684</v>
      </c>
      <c r="I49" s="28">
        <f t="shared" si="8"/>
        <v>51.282051282051285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38.46153846153846</v>
      </c>
      <c r="H50" s="27">
        <f>F4/SUM(J41:J55)</f>
        <v>1.0683760683760684</v>
      </c>
      <c r="I50" s="28">
        <f t="shared" si="8"/>
        <v>38.46153846153846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38.46153846153846</v>
      </c>
      <c r="H51" s="27">
        <f>F4/SUM(J41:J55)</f>
        <v>1.0683760683760684</v>
      </c>
      <c r="I51" s="28">
        <f t="shared" si="8"/>
        <v>38.46153846153846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38.46153846153846</v>
      </c>
      <c r="H52" s="27">
        <f>F4/SUM(J41:J55)</f>
        <v>1.0683760683760684</v>
      </c>
      <c r="I52" s="28">
        <f t="shared" si="8"/>
        <v>38.46153846153846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1.0683760683760684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1.0683760683760684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1.0683760683760684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0866141732283472" right="0.70866141732283472" top="0.74803149606299213" bottom="0.74803149606299213" header="0" footer="0"/>
  <pageSetup paperSize="9" scale="7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0</v>
      </c>
      <c r="E4" s="1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0</v>
      </c>
      <c r="E7" s="1"/>
      <c r="F7" s="42"/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>
        <f t="shared" si="0"/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0</v>
      </c>
      <c r="H41" s="27">
        <f>F4/SUM(J41:J55)</f>
        <v>0</v>
      </c>
      <c r="I41" s="28">
        <f t="shared" ref="I41:I55" si="8">IF(G41&lt;0,0,G41)</f>
        <v>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0</v>
      </c>
      <c r="H42" s="27">
        <f>F4/SUM(J41:J55)</f>
        <v>0</v>
      </c>
      <c r="I42" s="28">
        <f t="shared" si="8"/>
        <v>0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>
        <f t="shared" si="7"/>
        <v>0</v>
      </c>
      <c r="H43" s="27">
        <f>F4/SUM(J41:J55)</f>
        <v>0</v>
      </c>
      <c r="I43" s="28">
        <f t="shared" si="8"/>
        <v>0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0</v>
      </c>
      <c r="H44" s="27">
        <f>F4/SUM(J41:J55)</f>
        <v>0</v>
      </c>
      <c r="I44" s="28">
        <f t="shared" si="8"/>
        <v>0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0</v>
      </c>
      <c r="H45" s="27">
        <f>F4/SUM(J41:J55)</f>
        <v>0</v>
      </c>
      <c r="I45" s="28">
        <f t="shared" si="8"/>
        <v>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>
        <f t="shared" si="7"/>
        <v>0</v>
      </c>
      <c r="H46" s="27">
        <f>F4/SUM(J41:J55)</f>
        <v>0</v>
      </c>
      <c r="I46" s="28">
        <f t="shared" si="8"/>
        <v>0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0</v>
      </c>
      <c r="H47" s="27">
        <f>F4/SUM(J41:J55)</f>
        <v>0</v>
      </c>
      <c r="I47" s="28">
        <f t="shared" si="8"/>
        <v>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0</v>
      </c>
      <c r="H48" s="27">
        <f>F4/SUM(J41:J55)</f>
        <v>0</v>
      </c>
      <c r="I48" s="28">
        <f t="shared" si="8"/>
        <v>0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0</v>
      </c>
      <c r="H49" s="27">
        <f>F4/SUM(J41:J55)</f>
        <v>0</v>
      </c>
      <c r="I49" s="28">
        <f t="shared" si="8"/>
        <v>0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0</v>
      </c>
      <c r="H50" s="27">
        <f>F4/SUM(J41:J55)</f>
        <v>0</v>
      </c>
      <c r="I50" s="28">
        <f t="shared" si="8"/>
        <v>0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0</v>
      </c>
      <c r="H51" s="27">
        <f>F4/SUM(J41:J55)</f>
        <v>0</v>
      </c>
      <c r="I51" s="28">
        <f t="shared" si="8"/>
        <v>0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0</v>
      </c>
      <c r="H52" s="27">
        <f>F4/SUM(J41:J55)</f>
        <v>0</v>
      </c>
      <c r="I52" s="28">
        <f t="shared" si="8"/>
        <v>0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" right="0.7" top="0.75" bottom="0.75" header="0" footer="0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0</v>
      </c>
      <c r="E4" s="1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0</v>
      </c>
      <c r="E7" s="1"/>
      <c r="F7" s="42"/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>
        <f t="shared" si="0"/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0</v>
      </c>
      <c r="H41" s="27">
        <f>F4/SUM(J41:J55)</f>
        <v>0</v>
      </c>
      <c r="I41" s="28">
        <f t="shared" ref="I41:I55" si="8">IF(G41&lt;0,0,G41)</f>
        <v>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0</v>
      </c>
      <c r="H42" s="27">
        <f>F4/SUM(J41:J55)</f>
        <v>0</v>
      </c>
      <c r="I42" s="28">
        <f t="shared" si="8"/>
        <v>0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>
        <f t="shared" si="7"/>
        <v>0</v>
      </c>
      <c r="H43" s="27">
        <f>F4/SUM(J41:J55)</f>
        <v>0</v>
      </c>
      <c r="I43" s="28">
        <f t="shared" si="8"/>
        <v>0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0</v>
      </c>
      <c r="H44" s="27">
        <f>F4/SUM(J41:J55)</f>
        <v>0</v>
      </c>
      <c r="I44" s="28">
        <f t="shared" si="8"/>
        <v>0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0</v>
      </c>
      <c r="H45" s="27">
        <f>F4/SUM(J41:J55)</f>
        <v>0</v>
      </c>
      <c r="I45" s="28">
        <f t="shared" si="8"/>
        <v>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>
        <f t="shared" si="7"/>
        <v>0</v>
      </c>
      <c r="H46" s="27">
        <f>F4/SUM(J41:J55)</f>
        <v>0</v>
      </c>
      <c r="I46" s="28">
        <f t="shared" si="8"/>
        <v>0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0</v>
      </c>
      <c r="H47" s="27">
        <f>F4/SUM(J41:J55)</f>
        <v>0</v>
      </c>
      <c r="I47" s="28">
        <f t="shared" si="8"/>
        <v>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0</v>
      </c>
      <c r="H48" s="27">
        <f>F4/SUM(J41:J55)</f>
        <v>0</v>
      </c>
      <c r="I48" s="28">
        <f t="shared" si="8"/>
        <v>0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0</v>
      </c>
      <c r="H49" s="27">
        <f>F4/SUM(J41:J55)</f>
        <v>0</v>
      </c>
      <c r="I49" s="28">
        <f t="shared" si="8"/>
        <v>0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0</v>
      </c>
      <c r="H50" s="27">
        <f>F4/SUM(J41:J55)</f>
        <v>0</v>
      </c>
      <c r="I50" s="28">
        <f t="shared" si="8"/>
        <v>0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0</v>
      </c>
      <c r="H51" s="27">
        <f>F4/SUM(J41:J55)</f>
        <v>0</v>
      </c>
      <c r="I51" s="28">
        <f t="shared" si="8"/>
        <v>0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0</v>
      </c>
      <c r="H52" s="27">
        <f>F4/SUM(J41:J55)</f>
        <v>0</v>
      </c>
      <c r="I52" s="28">
        <f t="shared" si="8"/>
        <v>0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" right="0.7" top="0.75" bottom="0.75" header="0" footer="0"/>
  <pageSetup paperSize="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0</v>
      </c>
      <c r="E4" s="1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0</v>
      </c>
      <c r="E7" s="1"/>
      <c r="F7" s="42"/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>
        <f t="shared" si="0"/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0</v>
      </c>
      <c r="H41" s="27">
        <f>F4/SUM(J41:J55)</f>
        <v>0</v>
      </c>
      <c r="I41" s="28">
        <f t="shared" ref="I41:I55" si="8">IF(G41&lt;0,0,G41)</f>
        <v>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0</v>
      </c>
      <c r="H42" s="27">
        <f>F4/SUM(J41:J55)</f>
        <v>0</v>
      </c>
      <c r="I42" s="28">
        <f t="shared" si="8"/>
        <v>0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>
        <f t="shared" si="7"/>
        <v>0</v>
      </c>
      <c r="H43" s="27">
        <f>F4/SUM(J41:J55)</f>
        <v>0</v>
      </c>
      <c r="I43" s="28">
        <f t="shared" si="8"/>
        <v>0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0</v>
      </c>
      <c r="H44" s="27">
        <f>F4/SUM(J41:J55)</f>
        <v>0</v>
      </c>
      <c r="I44" s="28">
        <f t="shared" si="8"/>
        <v>0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0</v>
      </c>
      <c r="H45" s="27">
        <f>F4/SUM(J41:J55)</f>
        <v>0</v>
      </c>
      <c r="I45" s="28">
        <f t="shared" si="8"/>
        <v>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>
        <f t="shared" si="7"/>
        <v>0</v>
      </c>
      <c r="H46" s="27">
        <f>F4/SUM(J41:J55)</f>
        <v>0</v>
      </c>
      <c r="I46" s="28">
        <f t="shared" si="8"/>
        <v>0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0</v>
      </c>
      <c r="H47" s="27">
        <f>F4/SUM(J41:J55)</f>
        <v>0</v>
      </c>
      <c r="I47" s="28">
        <f t="shared" si="8"/>
        <v>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0</v>
      </c>
      <c r="H48" s="27">
        <f>F4/SUM(J41:J55)</f>
        <v>0</v>
      </c>
      <c r="I48" s="28">
        <f t="shared" si="8"/>
        <v>0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0</v>
      </c>
      <c r="H49" s="27">
        <f>F4/SUM(J41:J55)</f>
        <v>0</v>
      </c>
      <c r="I49" s="28">
        <f t="shared" si="8"/>
        <v>0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0</v>
      </c>
      <c r="H50" s="27">
        <f>F4/SUM(J41:J55)</f>
        <v>0</v>
      </c>
      <c r="I50" s="28">
        <f t="shared" si="8"/>
        <v>0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0</v>
      </c>
      <c r="H51" s="27">
        <f>F4/SUM(J41:J55)</f>
        <v>0</v>
      </c>
      <c r="I51" s="28">
        <f t="shared" si="8"/>
        <v>0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0</v>
      </c>
      <c r="H52" s="27">
        <f>F4/SUM(J41:J55)</f>
        <v>0</v>
      </c>
      <c r="I52" s="28">
        <f t="shared" si="8"/>
        <v>0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" right="0.7" top="0.75" bottom="0.75" header="0" footer="0"/>
  <pageSetup paperSize="9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0</v>
      </c>
      <c r="E4" s="1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0</v>
      </c>
      <c r="E7" s="1"/>
      <c r="F7" s="42"/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>
        <f t="shared" si="0"/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0</v>
      </c>
      <c r="H41" s="27">
        <f>F4/SUM(J41:J55)</f>
        <v>0</v>
      </c>
      <c r="I41" s="28">
        <f t="shared" ref="I41:I55" si="8">IF(G41&lt;0,0,G41)</f>
        <v>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0</v>
      </c>
      <c r="H42" s="27">
        <f>F4/SUM(J41:J55)</f>
        <v>0</v>
      </c>
      <c r="I42" s="28">
        <f t="shared" si="8"/>
        <v>0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>
        <f t="shared" si="7"/>
        <v>0</v>
      </c>
      <c r="H43" s="27">
        <f>F4/SUM(J41:J55)</f>
        <v>0</v>
      </c>
      <c r="I43" s="28">
        <f t="shared" si="8"/>
        <v>0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0</v>
      </c>
      <c r="H44" s="27">
        <f>F4/SUM(J41:J55)</f>
        <v>0</v>
      </c>
      <c r="I44" s="28">
        <f t="shared" si="8"/>
        <v>0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0</v>
      </c>
      <c r="H45" s="27">
        <f>F4/SUM(J41:J55)</f>
        <v>0</v>
      </c>
      <c r="I45" s="28">
        <f t="shared" si="8"/>
        <v>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>
        <f t="shared" si="7"/>
        <v>0</v>
      </c>
      <c r="H46" s="27">
        <f>F4/SUM(J41:J55)</f>
        <v>0</v>
      </c>
      <c r="I46" s="28">
        <f t="shared" si="8"/>
        <v>0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0</v>
      </c>
      <c r="H47" s="27">
        <f>F4/SUM(J41:J55)</f>
        <v>0</v>
      </c>
      <c r="I47" s="28">
        <f t="shared" si="8"/>
        <v>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0</v>
      </c>
      <c r="H48" s="27">
        <f>F4/SUM(J41:J55)</f>
        <v>0</v>
      </c>
      <c r="I48" s="28">
        <f t="shared" si="8"/>
        <v>0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0</v>
      </c>
      <c r="H49" s="27">
        <f>F4/SUM(J41:J55)</f>
        <v>0</v>
      </c>
      <c r="I49" s="28">
        <f t="shared" si="8"/>
        <v>0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0</v>
      </c>
      <c r="H50" s="27">
        <f>F4/SUM(J41:J55)</f>
        <v>0</v>
      </c>
      <c r="I50" s="28">
        <f t="shared" si="8"/>
        <v>0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0</v>
      </c>
      <c r="H51" s="27">
        <f>F4/SUM(J41:J55)</f>
        <v>0</v>
      </c>
      <c r="I51" s="28">
        <f t="shared" si="8"/>
        <v>0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0</v>
      </c>
      <c r="H52" s="27">
        <f>F4/SUM(J41:J55)</f>
        <v>0</v>
      </c>
      <c r="I52" s="28">
        <f t="shared" si="8"/>
        <v>0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" right="0.7" top="0.75" bottom="0.75" header="0" footer="0"/>
  <pageSetup paperSize="9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0</v>
      </c>
      <c r="E4" s="1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0</v>
      </c>
      <c r="E7" s="1"/>
      <c r="F7" s="42"/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>
        <f t="shared" si="0"/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0</v>
      </c>
      <c r="H41" s="27">
        <f>F4/SUM(J41:J55)</f>
        <v>0</v>
      </c>
      <c r="I41" s="28">
        <f t="shared" ref="I41:I55" si="8">IF(G41&lt;0,0,G41)</f>
        <v>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0</v>
      </c>
      <c r="H42" s="27">
        <f>F4/SUM(J41:J55)</f>
        <v>0</v>
      </c>
      <c r="I42" s="28">
        <f t="shared" si="8"/>
        <v>0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>
        <f t="shared" si="7"/>
        <v>0</v>
      </c>
      <c r="H43" s="27">
        <f>F4/SUM(J41:J55)</f>
        <v>0</v>
      </c>
      <c r="I43" s="28">
        <f t="shared" si="8"/>
        <v>0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0</v>
      </c>
      <c r="H44" s="27">
        <f>F4/SUM(J41:J55)</f>
        <v>0</v>
      </c>
      <c r="I44" s="28">
        <f t="shared" si="8"/>
        <v>0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0</v>
      </c>
      <c r="H45" s="27">
        <f>F4/SUM(J41:J55)</f>
        <v>0</v>
      </c>
      <c r="I45" s="28">
        <f t="shared" si="8"/>
        <v>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>
        <f t="shared" si="7"/>
        <v>0</v>
      </c>
      <c r="H46" s="27">
        <f>F4/SUM(J41:J55)</f>
        <v>0</v>
      </c>
      <c r="I46" s="28">
        <f t="shared" si="8"/>
        <v>0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0</v>
      </c>
      <c r="H47" s="27">
        <f>F4/SUM(J41:J55)</f>
        <v>0</v>
      </c>
      <c r="I47" s="28">
        <f t="shared" si="8"/>
        <v>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0</v>
      </c>
      <c r="H48" s="27">
        <f>F4/SUM(J41:J55)</f>
        <v>0</v>
      </c>
      <c r="I48" s="28">
        <f t="shared" si="8"/>
        <v>0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0</v>
      </c>
      <c r="H49" s="27">
        <f>F4/SUM(J41:J55)</f>
        <v>0</v>
      </c>
      <c r="I49" s="28">
        <f t="shared" si="8"/>
        <v>0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0</v>
      </c>
      <c r="H50" s="27">
        <f>F4/SUM(J41:J55)</f>
        <v>0</v>
      </c>
      <c r="I50" s="28">
        <f t="shared" si="8"/>
        <v>0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0</v>
      </c>
      <c r="H51" s="27">
        <f>F4/SUM(J41:J55)</f>
        <v>0</v>
      </c>
      <c r="I51" s="28">
        <f t="shared" si="8"/>
        <v>0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0</v>
      </c>
      <c r="H52" s="27">
        <f>F4/SUM(J41:J55)</f>
        <v>0</v>
      </c>
      <c r="I52" s="28">
        <f t="shared" si="8"/>
        <v>0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" right="0.7" top="0.75" bottom="0.75" header="0" footer="0"/>
  <pageSetup paperSize="9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46</v>
      </c>
      <c r="E4" s="1"/>
      <c r="F4" s="7">
        <v>440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35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35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23</v>
      </c>
      <c r="E7" s="1"/>
      <c r="F7" s="42" t="s">
        <v>69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46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37</v>
      </c>
      <c r="D9" s="6">
        <f t="shared" si="0"/>
        <v>35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46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23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46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35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35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35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440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PORFIRIO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46.315789473684212</v>
      </c>
      <c r="H41" s="27">
        <f>F4/SUM(J41:J55)</f>
        <v>0.96491228070175439</v>
      </c>
      <c r="I41" s="28">
        <f t="shared" ref="I41:I55" si="8">IF(G41&lt;0,0,G41)</f>
        <v>46.315789473684212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34.736842105263158</v>
      </c>
      <c r="H42" s="27">
        <f>F4/SUM(J41:J55)</f>
        <v>0.96491228070175439</v>
      </c>
      <c r="I42" s="28">
        <f t="shared" si="8"/>
        <v>34.736842105263158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>
        <f t="shared" si="7"/>
        <v>34.736842105263158</v>
      </c>
      <c r="H43" s="27">
        <f>F4/SUM(J41:J55)</f>
        <v>0.96491228070175439</v>
      </c>
      <c r="I43" s="28">
        <f t="shared" si="8"/>
        <v>34.736842105263158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23.157894736842106</v>
      </c>
      <c r="H44" s="27">
        <f>F4/SUM(J41:J55)</f>
        <v>0.96491228070175439</v>
      </c>
      <c r="I44" s="28">
        <f t="shared" si="8"/>
        <v>23.157894736842106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46.315789473684212</v>
      </c>
      <c r="H45" s="27">
        <f>F4/SUM(J41:J55)</f>
        <v>0.96491228070175439</v>
      </c>
      <c r="I45" s="28">
        <f t="shared" si="8"/>
        <v>46.315789473684212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PORFIRIO</v>
      </c>
      <c r="G46" s="26">
        <f t="shared" si="7"/>
        <v>34.736842105263158</v>
      </c>
      <c r="H46" s="27">
        <f>F4/SUM(J41:J55)</f>
        <v>0.96491228070175439</v>
      </c>
      <c r="I46" s="28">
        <f t="shared" si="8"/>
        <v>34.736842105263158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46.315789473684212</v>
      </c>
      <c r="H47" s="27">
        <f>F4/SUM(J41:J55)</f>
        <v>0.96491228070175439</v>
      </c>
      <c r="I47" s="28">
        <f t="shared" si="8"/>
        <v>46.315789473684212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23.157894736842106</v>
      </c>
      <c r="H48" s="27">
        <f>F4/SUM(J41:J55)</f>
        <v>0.96491228070175439</v>
      </c>
      <c r="I48" s="28">
        <f t="shared" si="8"/>
        <v>23.157894736842106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46.315789473684212</v>
      </c>
      <c r="H49" s="27">
        <f>F4/SUM(J41:J55)</f>
        <v>0.96491228070175439</v>
      </c>
      <c r="I49" s="28">
        <f t="shared" si="8"/>
        <v>46.315789473684212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34.736842105263158</v>
      </c>
      <c r="H50" s="27">
        <f>F4/SUM(J41:J55)</f>
        <v>0.96491228070175439</v>
      </c>
      <c r="I50" s="28">
        <f t="shared" si="8"/>
        <v>34.736842105263158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34.736842105263158</v>
      </c>
      <c r="H51" s="27">
        <f>F4/SUM(J41:J55)</f>
        <v>0.96491228070175439</v>
      </c>
      <c r="I51" s="28">
        <f t="shared" si="8"/>
        <v>34.736842105263158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34.736842105263158</v>
      </c>
      <c r="H52" s="27">
        <f>F4/SUM(J41:J55)</f>
        <v>0.96491228070175439</v>
      </c>
      <c r="I52" s="28">
        <f t="shared" si="8"/>
        <v>34.736842105263158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0.96491228070175439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0.96491228070175439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0.96491228070175439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" right="0.7" top="0.75" bottom="0.75" header="0" footer="0"/>
  <pageSetup paperSize="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0</v>
      </c>
      <c r="E4" s="1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0</v>
      </c>
      <c r="E7" s="1"/>
      <c r="F7" s="42"/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>
        <f t="shared" si="0"/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0</v>
      </c>
      <c r="H41" s="27">
        <f>F4/SUM(J41:J55)</f>
        <v>0</v>
      </c>
      <c r="I41" s="28">
        <f t="shared" ref="I41:I55" si="8">IF(G41&lt;0,0,G41)</f>
        <v>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0</v>
      </c>
      <c r="H42" s="27">
        <f>F4/SUM(J41:J55)</f>
        <v>0</v>
      </c>
      <c r="I42" s="28">
        <f t="shared" si="8"/>
        <v>0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>
        <f t="shared" si="7"/>
        <v>0</v>
      </c>
      <c r="H43" s="27">
        <f>F4/SUM(J41:J55)</f>
        <v>0</v>
      </c>
      <c r="I43" s="28">
        <f t="shared" si="8"/>
        <v>0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0</v>
      </c>
      <c r="H44" s="27">
        <f>F4/SUM(J41:J55)</f>
        <v>0</v>
      </c>
      <c r="I44" s="28">
        <f t="shared" si="8"/>
        <v>0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0</v>
      </c>
      <c r="H45" s="27">
        <f>F4/SUM(J41:J55)</f>
        <v>0</v>
      </c>
      <c r="I45" s="28">
        <f t="shared" si="8"/>
        <v>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>
        <f t="shared" si="7"/>
        <v>0</v>
      </c>
      <c r="H46" s="27">
        <f>F4/SUM(J41:J55)</f>
        <v>0</v>
      </c>
      <c r="I46" s="28">
        <f t="shared" si="8"/>
        <v>0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0</v>
      </c>
      <c r="H47" s="27">
        <f>F4/SUM(J41:J55)</f>
        <v>0</v>
      </c>
      <c r="I47" s="28">
        <f t="shared" si="8"/>
        <v>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0</v>
      </c>
      <c r="H48" s="27">
        <f>F4/SUM(J41:J55)</f>
        <v>0</v>
      </c>
      <c r="I48" s="28">
        <f t="shared" si="8"/>
        <v>0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0</v>
      </c>
      <c r="H49" s="27">
        <f>F4/SUM(J41:J55)</f>
        <v>0</v>
      </c>
      <c r="I49" s="28">
        <f t="shared" si="8"/>
        <v>0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0</v>
      </c>
      <c r="H50" s="27">
        <f>F4/SUM(J41:J55)</f>
        <v>0</v>
      </c>
      <c r="I50" s="28">
        <f t="shared" si="8"/>
        <v>0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0</v>
      </c>
      <c r="H51" s="27">
        <f>F4/SUM(J41:J55)</f>
        <v>0</v>
      </c>
      <c r="I51" s="28">
        <f t="shared" si="8"/>
        <v>0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0</v>
      </c>
      <c r="H52" s="27">
        <f>F4/SUM(J41:J55)</f>
        <v>0</v>
      </c>
      <c r="I52" s="28">
        <f t="shared" si="8"/>
        <v>0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" right="0.7" top="0.75" bottom="0.75" header="0" footer="0"/>
  <pageSetup paperSize="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0</v>
      </c>
      <c r="E4" s="1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0</v>
      </c>
      <c r="E7" s="1"/>
      <c r="F7" s="42"/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>
        <f t="shared" si="0"/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0</v>
      </c>
      <c r="H41" s="27">
        <f>F4/SUM(J41:J55)</f>
        <v>0</v>
      </c>
      <c r="I41" s="28">
        <f t="shared" ref="I41:I55" si="8">IF(G41&lt;0,0,G41)</f>
        <v>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0</v>
      </c>
      <c r="H42" s="27">
        <f>F4/SUM(J41:J55)</f>
        <v>0</v>
      </c>
      <c r="I42" s="28">
        <f t="shared" si="8"/>
        <v>0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>
        <f t="shared" si="7"/>
        <v>0</v>
      </c>
      <c r="H43" s="27">
        <f>F4/SUM(J41:J55)</f>
        <v>0</v>
      </c>
      <c r="I43" s="28">
        <f t="shared" si="8"/>
        <v>0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0</v>
      </c>
      <c r="H44" s="27">
        <f>F4/SUM(J41:J55)</f>
        <v>0</v>
      </c>
      <c r="I44" s="28">
        <f t="shared" si="8"/>
        <v>0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0</v>
      </c>
      <c r="H45" s="27">
        <f>F4/SUM(J41:J55)</f>
        <v>0</v>
      </c>
      <c r="I45" s="28">
        <f t="shared" si="8"/>
        <v>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>
        <f t="shared" si="7"/>
        <v>0</v>
      </c>
      <c r="H46" s="27">
        <f>F4/SUM(J41:J55)</f>
        <v>0</v>
      </c>
      <c r="I46" s="28">
        <f t="shared" si="8"/>
        <v>0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0</v>
      </c>
      <c r="H47" s="27">
        <f>F4/SUM(J41:J55)</f>
        <v>0</v>
      </c>
      <c r="I47" s="28">
        <f t="shared" si="8"/>
        <v>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0</v>
      </c>
      <c r="H48" s="27">
        <f>F4/SUM(J41:J55)</f>
        <v>0</v>
      </c>
      <c r="I48" s="28">
        <f t="shared" si="8"/>
        <v>0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0</v>
      </c>
      <c r="H49" s="27">
        <f>F4/SUM(J41:J55)</f>
        <v>0</v>
      </c>
      <c r="I49" s="28">
        <f t="shared" si="8"/>
        <v>0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0</v>
      </c>
      <c r="H50" s="27">
        <f>F4/SUM(J41:J55)</f>
        <v>0</v>
      </c>
      <c r="I50" s="28">
        <f t="shared" si="8"/>
        <v>0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0</v>
      </c>
      <c r="H51" s="27">
        <f>F4/SUM(J41:J55)</f>
        <v>0</v>
      </c>
      <c r="I51" s="28">
        <f t="shared" si="8"/>
        <v>0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0</v>
      </c>
      <c r="H52" s="27">
        <f>F4/SUM(J41:J55)</f>
        <v>0</v>
      </c>
      <c r="I52" s="28">
        <f t="shared" si="8"/>
        <v>0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" right="0.7" top="0.75" bottom="0.75" header="0" footer="0"/>
  <pageSetup paperSize="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0</v>
      </c>
      <c r="E4" s="1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0</v>
      </c>
      <c r="E7" s="1"/>
      <c r="F7" s="42"/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>
        <f t="shared" si="0"/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0</v>
      </c>
      <c r="H41" s="27">
        <f>F4/SUM(J41:J55)</f>
        <v>0</v>
      </c>
      <c r="I41" s="28">
        <f t="shared" ref="I41:I55" si="8">IF(G41&lt;0,0,G41)</f>
        <v>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0</v>
      </c>
      <c r="H42" s="27">
        <f>F4/SUM(J41:J55)</f>
        <v>0</v>
      </c>
      <c r="I42" s="28">
        <f t="shared" si="8"/>
        <v>0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>
        <f t="shared" si="7"/>
        <v>0</v>
      </c>
      <c r="H43" s="27">
        <f>F4/SUM(J41:J55)</f>
        <v>0</v>
      </c>
      <c r="I43" s="28">
        <f t="shared" si="8"/>
        <v>0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0</v>
      </c>
      <c r="H44" s="27">
        <f>F4/SUM(J41:J55)</f>
        <v>0</v>
      </c>
      <c r="I44" s="28">
        <f t="shared" si="8"/>
        <v>0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0</v>
      </c>
      <c r="H45" s="27">
        <f>F4/SUM(J41:J55)</f>
        <v>0</v>
      </c>
      <c r="I45" s="28">
        <f t="shared" si="8"/>
        <v>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>
        <f t="shared" si="7"/>
        <v>0</v>
      </c>
      <c r="H46" s="27">
        <f>F4/SUM(J41:J55)</f>
        <v>0</v>
      </c>
      <c r="I46" s="28">
        <f t="shared" si="8"/>
        <v>0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0</v>
      </c>
      <c r="H47" s="27">
        <f>F4/SUM(J41:J55)</f>
        <v>0</v>
      </c>
      <c r="I47" s="28">
        <f t="shared" si="8"/>
        <v>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0</v>
      </c>
      <c r="H48" s="27">
        <f>F4/SUM(J41:J55)</f>
        <v>0</v>
      </c>
      <c r="I48" s="28">
        <f t="shared" si="8"/>
        <v>0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0</v>
      </c>
      <c r="H49" s="27">
        <f>F4/SUM(J41:J55)</f>
        <v>0</v>
      </c>
      <c r="I49" s="28">
        <f t="shared" si="8"/>
        <v>0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0</v>
      </c>
      <c r="H50" s="27">
        <f>F4/SUM(J41:J55)</f>
        <v>0</v>
      </c>
      <c r="I50" s="28">
        <f t="shared" si="8"/>
        <v>0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0</v>
      </c>
      <c r="H51" s="27">
        <f>F4/SUM(J41:J55)</f>
        <v>0</v>
      </c>
      <c r="I51" s="28">
        <f t="shared" si="8"/>
        <v>0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0</v>
      </c>
      <c r="H52" s="27">
        <f>F4/SUM(J41:J55)</f>
        <v>0</v>
      </c>
      <c r="I52" s="28">
        <f t="shared" si="8"/>
        <v>0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" right="0.7" top="0.75" bottom="0.75" header="0" footer="0"/>
  <pageSetup paperSize="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0</v>
      </c>
      <c r="E4" s="1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0</v>
      </c>
      <c r="E7" s="1"/>
      <c r="F7" s="42"/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>
        <f t="shared" si="0"/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0</v>
      </c>
      <c r="H41" s="27">
        <f>F4/SUM(J41:J55)</f>
        <v>0</v>
      </c>
      <c r="I41" s="28">
        <f t="shared" ref="I41:I55" si="8">IF(G41&lt;0,0,G41)</f>
        <v>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0</v>
      </c>
      <c r="H42" s="27">
        <f>F4/SUM(J41:J55)</f>
        <v>0</v>
      </c>
      <c r="I42" s="28">
        <f t="shared" si="8"/>
        <v>0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>
        <f t="shared" si="7"/>
        <v>0</v>
      </c>
      <c r="H43" s="27">
        <f>F4/SUM(J41:J55)</f>
        <v>0</v>
      </c>
      <c r="I43" s="28">
        <f t="shared" si="8"/>
        <v>0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0</v>
      </c>
      <c r="H44" s="27">
        <f>F4/SUM(J41:J55)</f>
        <v>0</v>
      </c>
      <c r="I44" s="28">
        <f t="shared" si="8"/>
        <v>0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0</v>
      </c>
      <c r="H45" s="27">
        <f>F4/SUM(J41:J55)</f>
        <v>0</v>
      </c>
      <c r="I45" s="28">
        <f t="shared" si="8"/>
        <v>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>
        <f t="shared" si="7"/>
        <v>0</v>
      </c>
      <c r="H46" s="27">
        <f>F4/SUM(J41:J55)</f>
        <v>0</v>
      </c>
      <c r="I46" s="28">
        <f t="shared" si="8"/>
        <v>0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0</v>
      </c>
      <c r="H47" s="27">
        <f>F4/SUM(J41:J55)</f>
        <v>0</v>
      </c>
      <c r="I47" s="28">
        <f t="shared" si="8"/>
        <v>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0</v>
      </c>
      <c r="H48" s="27">
        <f>F4/SUM(J41:J55)</f>
        <v>0</v>
      </c>
      <c r="I48" s="28">
        <f t="shared" si="8"/>
        <v>0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0</v>
      </c>
      <c r="H49" s="27">
        <f>F4/SUM(J41:J55)</f>
        <v>0</v>
      </c>
      <c r="I49" s="28">
        <f t="shared" si="8"/>
        <v>0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0</v>
      </c>
      <c r="H50" s="27">
        <f>F4/SUM(J41:J55)</f>
        <v>0</v>
      </c>
      <c r="I50" s="28">
        <f t="shared" si="8"/>
        <v>0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0</v>
      </c>
      <c r="H51" s="27">
        <f>F4/SUM(J41:J55)</f>
        <v>0</v>
      </c>
      <c r="I51" s="28">
        <f t="shared" si="8"/>
        <v>0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0</v>
      </c>
      <c r="H52" s="27">
        <f>F4/SUM(J41:J55)</f>
        <v>0</v>
      </c>
      <c r="I52" s="28">
        <f t="shared" si="8"/>
        <v>0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" right="0.7" top="0.75" bottom="0.75" header="0" footer="0"/>
  <pageSetup paperSize="9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0</v>
      </c>
      <c r="E4" s="1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0</v>
      </c>
      <c r="E7" s="1"/>
      <c r="F7" s="42"/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>
        <f t="shared" si="0"/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0</v>
      </c>
      <c r="H41" s="27">
        <f>F4/SUM(J41:J55)</f>
        <v>0</v>
      </c>
      <c r="I41" s="28">
        <f t="shared" ref="I41:I55" si="8">IF(G41&lt;0,0,G41)</f>
        <v>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0</v>
      </c>
      <c r="H42" s="27">
        <f>F4/SUM(J41:J55)</f>
        <v>0</v>
      </c>
      <c r="I42" s="28">
        <f t="shared" si="8"/>
        <v>0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>
        <f t="shared" si="7"/>
        <v>0</v>
      </c>
      <c r="H43" s="27">
        <f>F4/SUM(J41:J55)</f>
        <v>0</v>
      </c>
      <c r="I43" s="28">
        <f t="shared" si="8"/>
        <v>0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0</v>
      </c>
      <c r="H44" s="27">
        <f>F4/SUM(J41:J55)</f>
        <v>0</v>
      </c>
      <c r="I44" s="28">
        <f t="shared" si="8"/>
        <v>0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0</v>
      </c>
      <c r="H45" s="27">
        <f>F4/SUM(J41:J55)</f>
        <v>0</v>
      </c>
      <c r="I45" s="28">
        <f t="shared" si="8"/>
        <v>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>
        <f t="shared" si="7"/>
        <v>0</v>
      </c>
      <c r="H46" s="27">
        <f>F4/SUM(J41:J55)</f>
        <v>0</v>
      </c>
      <c r="I46" s="28">
        <f t="shared" si="8"/>
        <v>0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0</v>
      </c>
      <c r="H47" s="27">
        <f>F4/SUM(J41:J55)</f>
        <v>0</v>
      </c>
      <c r="I47" s="28">
        <f t="shared" si="8"/>
        <v>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0</v>
      </c>
      <c r="H48" s="27">
        <f>F4/SUM(J41:J55)</f>
        <v>0</v>
      </c>
      <c r="I48" s="28">
        <f t="shared" si="8"/>
        <v>0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0</v>
      </c>
      <c r="H49" s="27">
        <f>F4/SUM(J41:J55)</f>
        <v>0</v>
      </c>
      <c r="I49" s="28">
        <f t="shared" si="8"/>
        <v>0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0</v>
      </c>
      <c r="H50" s="27">
        <f>F4/SUM(J41:J55)</f>
        <v>0</v>
      </c>
      <c r="I50" s="28">
        <f t="shared" si="8"/>
        <v>0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0</v>
      </c>
      <c r="H51" s="27">
        <f>F4/SUM(J41:J55)</f>
        <v>0</v>
      </c>
      <c r="I51" s="28">
        <f t="shared" si="8"/>
        <v>0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0</v>
      </c>
      <c r="H52" s="27">
        <f>F4/SUM(J41:J55)</f>
        <v>0</v>
      </c>
      <c r="I52" s="28">
        <f t="shared" si="8"/>
        <v>0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" right="0.7" top="0.75" bottom="0.75" header="0" footer="0"/>
  <pageSetup paperSize="9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28</v>
      </c>
      <c r="E4" s="1"/>
      <c r="F4" s="7">
        <v>290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21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28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14</v>
      </c>
      <c r="E7" s="1"/>
      <c r="F7" s="42" t="s">
        <v>48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28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37</v>
      </c>
      <c r="D9" s="6">
        <f t="shared" si="0"/>
        <v>21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28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14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28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21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21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>
        <v>8</v>
      </c>
      <c r="C16" s="5" t="s">
        <v>70</v>
      </c>
      <c r="D16" s="6">
        <f t="shared" si="0"/>
        <v>28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287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PORFIRIO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>
        <v>4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24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 t="str">
        <f t="shared" si="1"/>
        <v>ERVIN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28.292682926829272</v>
      </c>
      <c r="H41" s="27">
        <f>F4/SUM(J41:J55)</f>
        <v>0.58943089430894313</v>
      </c>
      <c r="I41" s="28">
        <f t="shared" ref="I41:I55" si="8">IF(G41&lt;0,0,G41)</f>
        <v>28.292682926829272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21.219512195121954</v>
      </c>
      <c r="H42" s="27">
        <f>F4/SUM(J41:J55)</f>
        <v>0.58943089430894313</v>
      </c>
      <c r="I42" s="28">
        <f t="shared" si="8"/>
        <v>21.219512195121954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28.292682926829272</v>
      </c>
      <c r="H43" s="27">
        <f>F4/SUM(J41:J55)</f>
        <v>0.58943089430894313</v>
      </c>
      <c r="I43" s="28">
        <f t="shared" si="8"/>
        <v>28.292682926829272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14.146341463414636</v>
      </c>
      <c r="H44" s="27">
        <f>F4/SUM(J41:J55)</f>
        <v>0.58943089430894313</v>
      </c>
      <c r="I44" s="28">
        <f t="shared" si="8"/>
        <v>14.146341463414636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28.292682926829272</v>
      </c>
      <c r="H45" s="27">
        <f>F4/SUM(J41:J55)</f>
        <v>0.58943089430894313</v>
      </c>
      <c r="I45" s="28">
        <f t="shared" si="8"/>
        <v>28.292682926829272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PORFIRIO</v>
      </c>
      <c r="G46" s="26">
        <f t="shared" si="7"/>
        <v>21.219512195121954</v>
      </c>
      <c r="H46" s="27">
        <f>F4/SUM(J41:J55)</f>
        <v>0.58943089430894313</v>
      </c>
      <c r="I46" s="28">
        <f t="shared" si="8"/>
        <v>21.219512195121954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28.292682926829272</v>
      </c>
      <c r="H47" s="27">
        <f>F4/SUM(J41:J55)</f>
        <v>0.58943089430894313</v>
      </c>
      <c r="I47" s="28">
        <f t="shared" si="8"/>
        <v>28.292682926829272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14.146341463414636</v>
      </c>
      <c r="H48" s="27">
        <f>F4/SUM(J41:J55)</f>
        <v>0.58943089430894313</v>
      </c>
      <c r="I48" s="28">
        <f t="shared" si="8"/>
        <v>14.146341463414636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28.292682926829272</v>
      </c>
      <c r="H49" s="27">
        <f>F4/SUM(J41:J55)</f>
        <v>0.58943089430894313</v>
      </c>
      <c r="I49" s="28">
        <f t="shared" si="8"/>
        <v>28.292682926829272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21.219512195121954</v>
      </c>
      <c r="H50" s="27">
        <f>F4/SUM(J41:J55)</f>
        <v>0.58943089430894313</v>
      </c>
      <c r="I50" s="28">
        <f t="shared" si="8"/>
        <v>21.219512195121954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24</v>
      </c>
      <c r="E51" s="25">
        <f t="shared" si="5"/>
        <v>12</v>
      </c>
      <c r="F51" s="23" t="str">
        <f t="shared" si="6"/>
        <v>OBETH</v>
      </c>
      <c r="G51" s="26">
        <f t="shared" si="7"/>
        <v>7.073170731707318</v>
      </c>
      <c r="H51" s="27">
        <f>F4/SUM(J41:J55)</f>
        <v>0.58943089430894313</v>
      </c>
      <c r="I51" s="28">
        <f t="shared" si="8"/>
        <v>7.073170731707318</v>
      </c>
      <c r="J51" s="24">
        <f t="shared" si="9"/>
        <v>12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21.219512195121954</v>
      </c>
      <c r="H52" s="27">
        <f>F4/SUM(J41:J55)</f>
        <v>0.58943089430894313</v>
      </c>
      <c r="I52" s="28">
        <f t="shared" si="8"/>
        <v>21.219512195121954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8</v>
      </c>
      <c r="C53" s="25">
        <f t="shared" si="4"/>
        <v>48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48</v>
      </c>
      <c r="F53" s="23" t="str">
        <f t="shared" si="6"/>
        <v>ERVIN</v>
      </c>
      <c r="G53" s="26">
        <f t="shared" si="7"/>
        <v>28.292682926829272</v>
      </c>
      <c r="H53" s="27">
        <f>F4/SUM(J41:J55)</f>
        <v>0.58943089430894313</v>
      </c>
      <c r="I53" s="28">
        <f t="shared" si="8"/>
        <v>28.292682926829272</v>
      </c>
      <c r="J53" s="24">
        <f t="shared" si="9"/>
        <v>48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0.58943089430894313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0.58943089430894313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" right="0.7" top="0.75" bottom="0.75" header="0" footer="0"/>
  <pageSetup paperSize="9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45</v>
      </c>
      <c r="E4" s="1"/>
      <c r="F4" s="7">
        <v>430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34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45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23</v>
      </c>
      <c r="E7" s="1"/>
      <c r="F7" s="42" t="s">
        <v>38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45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37</v>
      </c>
      <c r="D9" s="6">
        <f t="shared" si="0"/>
        <v>34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45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23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45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34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34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>
        <v>4</v>
      </c>
      <c r="C16" s="5" t="s">
        <v>70</v>
      </c>
      <c r="D16" s="6">
        <f t="shared" si="0"/>
        <v>23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430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PORFIRIO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>
        <v>6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36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 t="str">
        <f t="shared" si="1"/>
        <v>ERVIN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45.263157894736842</v>
      </c>
      <c r="H41" s="27">
        <f>F4/SUM(J41:J55)</f>
        <v>0.94298245614035092</v>
      </c>
      <c r="I41" s="28">
        <f t="shared" ref="I41:I55" si="8">IF(G41&lt;0,0,G41)</f>
        <v>45.263157894736842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33.94736842105263</v>
      </c>
      <c r="H42" s="27">
        <f>F4/SUM(J41:J55)</f>
        <v>0.94298245614035092</v>
      </c>
      <c r="I42" s="28">
        <f t="shared" si="8"/>
        <v>33.94736842105263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45.263157894736842</v>
      </c>
      <c r="H43" s="27">
        <f>F4/SUM(J41:J55)</f>
        <v>0.94298245614035092</v>
      </c>
      <c r="I43" s="28">
        <f t="shared" si="8"/>
        <v>45.263157894736842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22.631578947368421</v>
      </c>
      <c r="H44" s="27">
        <f>F4/SUM(J41:J55)</f>
        <v>0.94298245614035092</v>
      </c>
      <c r="I44" s="28">
        <f t="shared" si="8"/>
        <v>22.631578947368421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45.263157894736842</v>
      </c>
      <c r="H45" s="27">
        <f>F4/SUM(J41:J55)</f>
        <v>0.94298245614035092</v>
      </c>
      <c r="I45" s="28">
        <f t="shared" si="8"/>
        <v>45.263157894736842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PORFIRIO</v>
      </c>
      <c r="G46" s="26">
        <f t="shared" si="7"/>
        <v>33.94736842105263</v>
      </c>
      <c r="H46" s="27">
        <f>F4/SUM(J41:J55)</f>
        <v>0.94298245614035092</v>
      </c>
      <c r="I46" s="28">
        <f t="shared" si="8"/>
        <v>33.94736842105263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45.263157894736842</v>
      </c>
      <c r="H47" s="27">
        <f>F4/SUM(J41:J55)</f>
        <v>0.94298245614035092</v>
      </c>
      <c r="I47" s="28">
        <f t="shared" si="8"/>
        <v>45.263157894736842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22.631578947368421</v>
      </c>
      <c r="H48" s="27">
        <f>F4/SUM(J41:J55)</f>
        <v>0.94298245614035092</v>
      </c>
      <c r="I48" s="28">
        <f t="shared" si="8"/>
        <v>22.631578947368421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45.263157894736842</v>
      </c>
      <c r="H49" s="27">
        <f>F4/SUM(J41:J55)</f>
        <v>0.94298245614035092</v>
      </c>
      <c r="I49" s="28">
        <f t="shared" si="8"/>
        <v>45.263157894736842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33.94736842105263</v>
      </c>
      <c r="H50" s="27">
        <f>F4/SUM(J41:J55)</f>
        <v>0.94298245614035092</v>
      </c>
      <c r="I50" s="28">
        <f t="shared" si="8"/>
        <v>33.94736842105263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36</v>
      </c>
      <c r="E51" s="25">
        <f t="shared" si="5"/>
        <v>0</v>
      </c>
      <c r="F51" s="23" t="str">
        <f t="shared" si="6"/>
        <v>OBETH</v>
      </c>
      <c r="G51" s="26">
        <f t="shared" si="7"/>
        <v>0</v>
      </c>
      <c r="H51" s="27">
        <f>F4/SUM(J41:J55)</f>
        <v>0.94298245614035092</v>
      </c>
      <c r="I51" s="28">
        <f t="shared" si="8"/>
        <v>0</v>
      </c>
      <c r="J51" s="24">
        <f t="shared" si="9"/>
        <v>0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33.94736842105263</v>
      </c>
      <c r="H52" s="27">
        <f>F4/SUM(J41:J55)</f>
        <v>0.94298245614035092</v>
      </c>
      <c r="I52" s="28">
        <f t="shared" si="8"/>
        <v>33.94736842105263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4</v>
      </c>
      <c r="C53" s="25">
        <f t="shared" si="4"/>
        <v>24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24</v>
      </c>
      <c r="F53" s="23" t="str">
        <f t="shared" si="6"/>
        <v>ERVIN</v>
      </c>
      <c r="G53" s="26">
        <f t="shared" si="7"/>
        <v>22.631578947368421</v>
      </c>
      <c r="H53" s="27">
        <f>F4/SUM(J41:J55)</f>
        <v>0.94298245614035092</v>
      </c>
      <c r="I53" s="28">
        <f t="shared" si="8"/>
        <v>22.631578947368421</v>
      </c>
      <c r="J53" s="24">
        <f t="shared" si="9"/>
        <v>24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0.94298245614035092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0.94298245614035092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" right="0.7" top="0.75" bottom="0.75" header="0" footer="0"/>
  <pageSetup paperSize="9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23</v>
      </c>
      <c r="E4" s="1"/>
      <c r="F4" s="7">
        <v>360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23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45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6</v>
      </c>
      <c r="C7" s="5" t="s">
        <v>71</v>
      </c>
      <c r="D7" s="6">
        <f t="shared" si="0"/>
        <v>34</v>
      </c>
      <c r="E7" s="1"/>
      <c r="F7" s="42" t="s">
        <v>58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45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47</v>
      </c>
      <c r="D9" s="6">
        <f t="shared" si="0"/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45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11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45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34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17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17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>
        <v>4</v>
      </c>
      <c r="C16" s="5" t="s">
        <v>72</v>
      </c>
      <c r="D16" s="6">
        <f t="shared" si="0"/>
        <v>23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362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>
        <v>1</v>
      </c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24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>
        <v>1</v>
      </c>
      <c r="I24" s="11"/>
      <c r="J24" s="11"/>
      <c r="K24" s="11"/>
      <c r="L24" s="11"/>
      <c r="M24" s="11"/>
      <c r="N24" s="11"/>
      <c r="O24" s="16">
        <f t="shared" si="2"/>
        <v>12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 xml:space="preserve">PAULINA  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 xml:space="preserve">PORFIRIO </v>
      </c>
      <c r="B28" s="11"/>
      <c r="C28" s="11"/>
      <c r="D28" s="11">
        <v>3</v>
      </c>
      <c r="E28" s="11"/>
      <c r="F28" s="11">
        <v>1</v>
      </c>
      <c r="G28" s="11"/>
      <c r="H28" s="11"/>
      <c r="I28" s="11"/>
      <c r="J28" s="11"/>
      <c r="K28" s="11"/>
      <c r="L28" s="11"/>
      <c r="M28" s="11"/>
      <c r="N28" s="11"/>
      <c r="O28" s="16">
        <f t="shared" si="2"/>
        <v>36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>
        <v>1</v>
      </c>
      <c r="G30" s="18"/>
      <c r="H30" s="18"/>
      <c r="I30" s="18"/>
      <c r="J30" s="18"/>
      <c r="K30" s="18"/>
      <c r="L30" s="18"/>
      <c r="M30" s="11"/>
      <c r="N30" s="18"/>
      <c r="O30" s="16">
        <f t="shared" si="2"/>
        <v>12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>
        <v>1</v>
      </c>
      <c r="G33" s="18"/>
      <c r="H33" s="18"/>
      <c r="I33" s="18"/>
      <c r="J33" s="18"/>
      <c r="K33" s="18"/>
      <c r="L33" s="18"/>
      <c r="M33" s="18"/>
      <c r="N33" s="18"/>
      <c r="O33" s="16">
        <f t="shared" si="2"/>
        <v>18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>
        <v>1</v>
      </c>
      <c r="G34" s="11"/>
      <c r="H34" s="11"/>
      <c r="I34" s="11"/>
      <c r="J34" s="11"/>
      <c r="K34" s="11"/>
      <c r="L34" s="11"/>
      <c r="M34" s="11"/>
      <c r="N34" s="11"/>
      <c r="O34" s="16">
        <f t="shared" si="2"/>
        <v>18</v>
      </c>
      <c r="P34" s="17" t="s">
        <v>30</v>
      </c>
      <c r="Q34" s="1"/>
    </row>
    <row r="35" spans="1:17" ht="15.75" customHeight="1" x14ac:dyDescent="0.25">
      <c r="A35" s="15" t="str">
        <f t="shared" si="1"/>
        <v xml:space="preserve">ERVIN 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24</v>
      </c>
      <c r="E41" s="25">
        <f t="shared" ref="E41:E55" si="5">C41-D41</f>
        <v>24</v>
      </c>
      <c r="F41" s="23" t="str">
        <f t="shared" ref="F41:F55" si="6">C4</f>
        <v>IVETH</v>
      </c>
      <c r="G41" s="26">
        <f t="shared" ref="G41:G55" si="7">H41*E41</f>
        <v>22.5</v>
      </c>
      <c r="H41" s="27">
        <f>F4/SUM(J41:J55)</f>
        <v>0.9375</v>
      </c>
      <c r="I41" s="28">
        <f t="shared" ref="I41:I55" si="8">IF(G41&lt;0,0,G41)</f>
        <v>22.5</v>
      </c>
      <c r="J41" s="24">
        <f t="shared" ref="J41:J55" si="9">IF(E41&lt;0,0,E41)</f>
        <v>24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12</v>
      </c>
      <c r="E42" s="25">
        <f t="shared" si="5"/>
        <v>24</v>
      </c>
      <c r="F42" s="23" t="str">
        <f t="shared" si="6"/>
        <v>EDMUNDO</v>
      </c>
      <c r="G42" s="26">
        <f t="shared" si="7"/>
        <v>22.5</v>
      </c>
      <c r="H42" s="27">
        <f>F4/SUM(J41:J55)</f>
        <v>0.9375</v>
      </c>
      <c r="I42" s="28">
        <f t="shared" si="8"/>
        <v>22.5</v>
      </c>
      <c r="J42" s="24">
        <f t="shared" si="9"/>
        <v>24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45</v>
      </c>
      <c r="H43" s="27">
        <f>F4/SUM(J41:J55)</f>
        <v>0.9375</v>
      </c>
      <c r="I43" s="28">
        <f t="shared" si="8"/>
        <v>45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6</v>
      </c>
      <c r="C44" s="25">
        <f t="shared" si="4"/>
        <v>36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36</v>
      </c>
      <c r="F44" s="23" t="str">
        <f t="shared" si="6"/>
        <v xml:space="preserve">PAULINA  </v>
      </c>
      <c r="G44" s="26">
        <f t="shared" si="7"/>
        <v>33.75</v>
      </c>
      <c r="H44" s="27">
        <f>F4/SUM(J41:J55)</f>
        <v>0.9375</v>
      </c>
      <c r="I44" s="28">
        <f t="shared" si="8"/>
        <v>33.75</v>
      </c>
      <c r="J44" s="24">
        <f t="shared" si="9"/>
        <v>36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45</v>
      </c>
      <c r="H45" s="27">
        <f>F4/SUM(J41:J55)</f>
        <v>0.9375</v>
      </c>
      <c r="I45" s="28">
        <f t="shared" si="8"/>
        <v>45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36</v>
      </c>
      <c r="E46" s="25">
        <f t="shared" si="5"/>
        <v>0</v>
      </c>
      <c r="F46" s="23" t="str">
        <f t="shared" si="6"/>
        <v xml:space="preserve">PORFIRIO </v>
      </c>
      <c r="G46" s="26">
        <f t="shared" si="7"/>
        <v>0</v>
      </c>
      <c r="H46" s="27">
        <f>F4/SUM(J41:J55)</f>
        <v>0.9375</v>
      </c>
      <c r="I46" s="28">
        <f t="shared" si="8"/>
        <v>0</v>
      </c>
      <c r="J46" s="24">
        <f t="shared" si="9"/>
        <v>0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45</v>
      </c>
      <c r="H47" s="27">
        <f>F4/SUM(J41:J55)</f>
        <v>0.9375</v>
      </c>
      <c r="I47" s="28">
        <f t="shared" si="8"/>
        <v>45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12</v>
      </c>
      <c r="E48" s="25">
        <f t="shared" si="5"/>
        <v>12</v>
      </c>
      <c r="F48" s="23" t="str">
        <f t="shared" si="6"/>
        <v>RICARDO</v>
      </c>
      <c r="G48" s="26">
        <f t="shared" si="7"/>
        <v>11.25</v>
      </c>
      <c r="H48" s="27">
        <f>F4/SUM(J41:J55)</f>
        <v>0.9375</v>
      </c>
      <c r="I48" s="28">
        <f t="shared" si="8"/>
        <v>11.25</v>
      </c>
      <c r="J48" s="24">
        <f t="shared" si="9"/>
        <v>12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45</v>
      </c>
      <c r="H49" s="27">
        <f>F4/SUM(J41:J55)</f>
        <v>0.9375</v>
      </c>
      <c r="I49" s="28">
        <f t="shared" si="8"/>
        <v>45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33.75</v>
      </c>
      <c r="H50" s="27">
        <f>F4/SUM(J41:J55)</f>
        <v>0.9375</v>
      </c>
      <c r="I50" s="28">
        <f t="shared" si="8"/>
        <v>33.75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18</v>
      </c>
      <c r="E51" s="25">
        <f t="shared" si="5"/>
        <v>18</v>
      </c>
      <c r="F51" s="23" t="str">
        <f t="shared" si="6"/>
        <v>OBETH</v>
      </c>
      <c r="G51" s="26">
        <f t="shared" si="7"/>
        <v>16.875</v>
      </c>
      <c r="H51" s="27">
        <f>F4/SUM(J41:J55)</f>
        <v>0.9375</v>
      </c>
      <c r="I51" s="28">
        <f t="shared" si="8"/>
        <v>16.875</v>
      </c>
      <c r="J51" s="24">
        <f t="shared" si="9"/>
        <v>18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18</v>
      </c>
      <c r="E52" s="25">
        <f t="shared" si="5"/>
        <v>18</v>
      </c>
      <c r="F52" s="23" t="str">
        <f t="shared" si="6"/>
        <v>FRANCISCO</v>
      </c>
      <c r="G52" s="26">
        <f t="shared" si="7"/>
        <v>16.875</v>
      </c>
      <c r="H52" s="27">
        <f>F4/SUM(J41:J55)</f>
        <v>0.9375</v>
      </c>
      <c r="I52" s="28">
        <f t="shared" si="8"/>
        <v>16.875</v>
      </c>
      <c r="J52" s="24">
        <f t="shared" si="9"/>
        <v>18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4</v>
      </c>
      <c r="C53" s="25">
        <f t="shared" si="4"/>
        <v>24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24</v>
      </c>
      <c r="F53" s="23" t="str">
        <f t="shared" si="6"/>
        <v xml:space="preserve">ERVIN </v>
      </c>
      <c r="G53" s="26">
        <f t="shared" si="7"/>
        <v>22.5</v>
      </c>
      <c r="H53" s="27">
        <f>F4/SUM(J41:J55)</f>
        <v>0.9375</v>
      </c>
      <c r="I53" s="28">
        <f t="shared" si="8"/>
        <v>22.5</v>
      </c>
      <c r="J53" s="24">
        <f t="shared" si="9"/>
        <v>24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0.9375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0.9375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" right="0.7" top="0.75" bottom="0.75" header="0" footer="0"/>
  <pageSetup paperSize="9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55</v>
      </c>
      <c r="E4" s="1"/>
      <c r="F4" s="7">
        <v>535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41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55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70</v>
      </c>
      <c r="D7" s="6">
        <f t="shared" si="0"/>
        <v>27</v>
      </c>
      <c r="E7" s="1"/>
      <c r="F7" s="42" t="s">
        <v>38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55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37</v>
      </c>
      <c r="D9" s="6">
        <f t="shared" si="0"/>
        <v>41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55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27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55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41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43</v>
      </c>
      <c r="D14" s="6">
        <f t="shared" si="0"/>
        <v>41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41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534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ERVIN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PORFIRIO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PAULINA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54.871794871794869</v>
      </c>
      <c r="H41" s="27">
        <f>F4/SUM(J41:J55)</f>
        <v>1.1431623931623931</v>
      </c>
      <c r="I41" s="28">
        <f t="shared" ref="I41:I55" si="8">IF(G41&lt;0,0,G41)</f>
        <v>54.871794871794869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41.153846153846153</v>
      </c>
      <c r="H42" s="27">
        <f>F4/SUM(J41:J55)</f>
        <v>1.1431623931623931</v>
      </c>
      <c r="I42" s="28">
        <f t="shared" si="8"/>
        <v>41.153846153846153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54.871794871794869</v>
      </c>
      <c r="H43" s="27">
        <f>F4/SUM(J41:J55)</f>
        <v>1.1431623931623931</v>
      </c>
      <c r="I43" s="28">
        <f t="shared" si="8"/>
        <v>54.871794871794869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ERVIN</v>
      </c>
      <c r="G44" s="26">
        <f t="shared" si="7"/>
        <v>27.435897435897434</v>
      </c>
      <c r="H44" s="27">
        <f>F4/SUM(J41:J55)</f>
        <v>1.1431623931623931</v>
      </c>
      <c r="I44" s="28">
        <f t="shared" si="8"/>
        <v>27.435897435897434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54.871794871794869</v>
      </c>
      <c r="H45" s="27">
        <f>F4/SUM(J41:J55)</f>
        <v>1.1431623931623931</v>
      </c>
      <c r="I45" s="28">
        <f t="shared" si="8"/>
        <v>54.871794871794869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PORFIRIO</v>
      </c>
      <c r="G46" s="26">
        <f t="shared" si="7"/>
        <v>41.153846153846153</v>
      </c>
      <c r="H46" s="27">
        <f>F4/SUM(J41:J55)</f>
        <v>1.1431623931623931</v>
      </c>
      <c r="I46" s="28">
        <f t="shared" si="8"/>
        <v>41.153846153846153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54.871794871794869</v>
      </c>
      <c r="H47" s="27">
        <f>F4/SUM(J41:J55)</f>
        <v>1.1431623931623931</v>
      </c>
      <c r="I47" s="28">
        <f t="shared" si="8"/>
        <v>54.871794871794869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27.435897435897434</v>
      </c>
      <c r="H48" s="27">
        <f>F4/SUM(J41:J55)</f>
        <v>1.1431623931623931</v>
      </c>
      <c r="I48" s="28">
        <f t="shared" si="8"/>
        <v>27.435897435897434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54.871794871794869</v>
      </c>
      <c r="H49" s="27">
        <f>F4/SUM(J41:J55)</f>
        <v>1.1431623931623931</v>
      </c>
      <c r="I49" s="28">
        <f t="shared" si="8"/>
        <v>54.871794871794869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41.153846153846153</v>
      </c>
      <c r="H50" s="27">
        <f>F4/SUM(J41:J55)</f>
        <v>1.1431623931623931</v>
      </c>
      <c r="I50" s="28">
        <f t="shared" si="8"/>
        <v>41.153846153846153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PAULINA</v>
      </c>
      <c r="G51" s="26">
        <f t="shared" si="7"/>
        <v>41.153846153846153</v>
      </c>
      <c r="H51" s="27">
        <f>F4/SUM(J41:J55)</f>
        <v>1.1431623931623931</v>
      </c>
      <c r="I51" s="28">
        <f t="shared" si="8"/>
        <v>41.153846153846153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41.153846153846153</v>
      </c>
      <c r="H52" s="27">
        <f>F4/SUM(J41:J55)</f>
        <v>1.1431623931623931</v>
      </c>
      <c r="I52" s="28">
        <f t="shared" si="8"/>
        <v>41.153846153846153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1.1431623931623931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1.1431623931623931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1.1431623931623931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" right="0.7" top="0.75" bottom="0.75" header="0" footer="0"/>
  <pageSetup paperSize="9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0</v>
      </c>
      <c r="E4" s="1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6</v>
      </c>
      <c r="C6" s="5" t="s">
        <v>5</v>
      </c>
      <c r="D6" s="6">
        <f t="shared" si="0"/>
        <v>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</v>
      </c>
      <c r="D7" s="6">
        <f t="shared" si="0"/>
        <v>0</v>
      </c>
      <c r="E7" s="1"/>
      <c r="F7" s="42"/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9</v>
      </c>
      <c r="D9" s="6">
        <f t="shared" si="0"/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14</v>
      </c>
      <c r="D14" s="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0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RODRIGO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FERNANDO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OBETH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0</v>
      </c>
      <c r="H41" s="27">
        <f>F4/SUM(J41:J55)</f>
        <v>0</v>
      </c>
      <c r="I41" s="28">
        <f t="shared" ref="I41:I55" si="8">IF(G41&lt;0,0,G41)</f>
        <v>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0</v>
      </c>
      <c r="E42" s="25">
        <f t="shared" si="5"/>
        <v>36</v>
      </c>
      <c r="F42" s="23" t="str">
        <f t="shared" si="6"/>
        <v>EDMUNDO</v>
      </c>
      <c r="G42" s="26">
        <f t="shared" si="7"/>
        <v>0</v>
      </c>
      <c r="H42" s="27">
        <f>F4/SUM(J41:J55)</f>
        <v>0</v>
      </c>
      <c r="I42" s="28">
        <f t="shared" si="8"/>
        <v>0</v>
      </c>
      <c r="J42" s="24">
        <f t="shared" si="9"/>
        <v>36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6</v>
      </c>
      <c r="C43" s="25">
        <f t="shared" si="4"/>
        <v>36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36</v>
      </c>
      <c r="F43" s="23" t="str">
        <f t="shared" si="6"/>
        <v>MARGOT</v>
      </c>
      <c r="G43" s="26">
        <f t="shared" si="7"/>
        <v>0</v>
      </c>
      <c r="H43" s="27">
        <f>F4/SUM(J41:J55)</f>
        <v>0</v>
      </c>
      <c r="I43" s="28">
        <f t="shared" si="8"/>
        <v>0</v>
      </c>
      <c r="J43" s="24">
        <f t="shared" si="9"/>
        <v>36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RODRIGO</v>
      </c>
      <c r="G44" s="26">
        <f t="shared" si="7"/>
        <v>0</v>
      </c>
      <c r="H44" s="27">
        <f>F4/SUM(J41:J55)</f>
        <v>0</v>
      </c>
      <c r="I44" s="28">
        <f t="shared" si="8"/>
        <v>0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0</v>
      </c>
      <c r="H45" s="27">
        <f>F4/SUM(J41:J55)</f>
        <v>0</v>
      </c>
      <c r="I45" s="28">
        <f t="shared" si="8"/>
        <v>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FERNANDO</v>
      </c>
      <c r="G46" s="26">
        <f t="shared" si="7"/>
        <v>0</v>
      </c>
      <c r="H46" s="27">
        <f>F4/SUM(J41:J55)</f>
        <v>0</v>
      </c>
      <c r="I46" s="28">
        <f t="shared" si="8"/>
        <v>0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0</v>
      </c>
      <c r="H47" s="27">
        <f>F4/SUM(J41:J55)</f>
        <v>0</v>
      </c>
      <c r="I47" s="28">
        <f t="shared" si="8"/>
        <v>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0</v>
      </c>
      <c r="H48" s="27">
        <f>F4/SUM(J41:J55)</f>
        <v>0</v>
      </c>
      <c r="I48" s="28">
        <f t="shared" si="8"/>
        <v>0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0</v>
      </c>
      <c r="H49" s="27">
        <f>F4/SUM(J41:J55)</f>
        <v>0</v>
      </c>
      <c r="I49" s="28">
        <f t="shared" si="8"/>
        <v>0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0</v>
      </c>
      <c r="H50" s="27">
        <f>F4/SUM(J41:J55)</f>
        <v>0</v>
      </c>
      <c r="I50" s="28">
        <f t="shared" si="8"/>
        <v>0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OBETH</v>
      </c>
      <c r="G51" s="26">
        <f t="shared" si="7"/>
        <v>0</v>
      </c>
      <c r="H51" s="27">
        <f>F4/SUM(J41:J55)</f>
        <v>0</v>
      </c>
      <c r="I51" s="28">
        <f t="shared" si="8"/>
        <v>0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0</v>
      </c>
      <c r="H52" s="27">
        <f>F4/SUM(J41:J55)</f>
        <v>0</v>
      </c>
      <c r="I52" s="28">
        <f t="shared" si="8"/>
        <v>0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0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0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0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" right="0.7" top="0.75" bottom="0.75" header="0" footer="0"/>
  <pageSetup paperSize="9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41</v>
      </c>
      <c r="E4" s="1"/>
      <c r="F4" s="7">
        <v>690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81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70</v>
      </c>
      <c r="D7" s="6">
        <f t="shared" si="0"/>
        <v>41</v>
      </c>
      <c r="E7" s="1"/>
      <c r="F7" s="42" t="s">
        <v>38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81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37</v>
      </c>
      <c r="D9" s="6">
        <f t="shared" si="0"/>
        <v>61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81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41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81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61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43</v>
      </c>
      <c r="D14" s="6">
        <f t="shared" si="0"/>
        <v>61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15</v>
      </c>
      <c r="D15" s="6">
        <f t="shared" si="0"/>
        <v>61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691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>
        <v>3</v>
      </c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24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>
        <v>6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36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ERVIN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PORFIRIO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>PAULINA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FRANCISCO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24</v>
      </c>
      <c r="E41" s="25">
        <f t="shared" ref="E41:E55" si="5">C41-D41</f>
        <v>24</v>
      </c>
      <c r="F41" s="23" t="str">
        <f t="shared" ref="F41:F55" si="6">C4</f>
        <v>IVETH</v>
      </c>
      <c r="G41" s="26">
        <f t="shared" ref="G41:G55" si="7">H41*E41</f>
        <v>40.588235294117645</v>
      </c>
      <c r="H41" s="27">
        <f>F4/SUM(J41:J55)</f>
        <v>1.6911764705882353</v>
      </c>
      <c r="I41" s="28">
        <f t="shared" ref="I41:I55" si="8">IF(G41&lt;0,0,G41)</f>
        <v>40.588235294117645</v>
      </c>
      <c r="J41" s="24">
        <f t="shared" ref="J41:J55" si="9">IF(E41&lt;0,0,E41)</f>
        <v>24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36</v>
      </c>
      <c r="E42" s="25">
        <f t="shared" si="5"/>
        <v>0</v>
      </c>
      <c r="F42" s="23" t="str">
        <f t="shared" si="6"/>
        <v>EDMUNDO</v>
      </c>
      <c r="G42" s="26">
        <f t="shared" si="7"/>
        <v>0</v>
      </c>
      <c r="H42" s="27">
        <f>F4/SUM(J41:J55)</f>
        <v>1.6911764705882353</v>
      </c>
      <c r="I42" s="28">
        <f t="shared" si="8"/>
        <v>0</v>
      </c>
      <c r="J42" s="24">
        <f t="shared" si="9"/>
        <v>0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81.17647058823529</v>
      </c>
      <c r="H43" s="27">
        <f>F4/SUM(J41:J55)</f>
        <v>1.6911764705882353</v>
      </c>
      <c r="I43" s="28">
        <f t="shared" si="8"/>
        <v>81.17647058823529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ERVIN</v>
      </c>
      <c r="G44" s="26">
        <f t="shared" si="7"/>
        <v>40.588235294117645</v>
      </c>
      <c r="H44" s="27">
        <f>F4/SUM(J41:J55)</f>
        <v>1.6911764705882353</v>
      </c>
      <c r="I44" s="28">
        <f t="shared" si="8"/>
        <v>40.588235294117645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81.17647058823529</v>
      </c>
      <c r="H45" s="27">
        <f>F4/SUM(J41:J55)</f>
        <v>1.6911764705882353</v>
      </c>
      <c r="I45" s="28">
        <f t="shared" si="8"/>
        <v>81.17647058823529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PORFIRIO</v>
      </c>
      <c r="G46" s="26">
        <f t="shared" si="7"/>
        <v>60.882352941176471</v>
      </c>
      <c r="H46" s="27">
        <f>F4/SUM(J41:J55)</f>
        <v>1.6911764705882353</v>
      </c>
      <c r="I46" s="28">
        <f t="shared" si="8"/>
        <v>60.882352941176471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81.17647058823529</v>
      </c>
      <c r="H47" s="27">
        <f>F4/SUM(J41:J55)</f>
        <v>1.6911764705882353</v>
      </c>
      <c r="I47" s="28">
        <f t="shared" si="8"/>
        <v>81.17647058823529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40.588235294117645</v>
      </c>
      <c r="H48" s="27">
        <f>F4/SUM(J41:J55)</f>
        <v>1.6911764705882353</v>
      </c>
      <c r="I48" s="28">
        <f t="shared" si="8"/>
        <v>40.588235294117645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81.17647058823529</v>
      </c>
      <c r="H49" s="27">
        <f>F4/SUM(J41:J55)</f>
        <v>1.6911764705882353</v>
      </c>
      <c r="I49" s="28">
        <f t="shared" si="8"/>
        <v>81.17647058823529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60.882352941176471</v>
      </c>
      <c r="H50" s="27">
        <f>F4/SUM(J41:J55)</f>
        <v>1.6911764705882353</v>
      </c>
      <c r="I50" s="28">
        <f t="shared" si="8"/>
        <v>60.882352941176471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>PAULINA</v>
      </c>
      <c r="G51" s="26">
        <f t="shared" si="7"/>
        <v>60.882352941176471</v>
      </c>
      <c r="H51" s="27">
        <f>F4/SUM(J41:J55)</f>
        <v>1.6911764705882353</v>
      </c>
      <c r="I51" s="28">
        <f t="shared" si="8"/>
        <v>60.882352941176471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FRANCISCO</v>
      </c>
      <c r="G52" s="26">
        <f t="shared" si="7"/>
        <v>60.882352941176471</v>
      </c>
      <c r="H52" s="27">
        <f>F4/SUM(J41:J55)</f>
        <v>1.6911764705882353</v>
      </c>
      <c r="I52" s="28">
        <f t="shared" si="8"/>
        <v>60.882352941176471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1.6911764705882353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1.6911764705882353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1.6911764705882353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" right="0.7" top="0.75" bottom="0.75" header="0" footer="0"/>
  <pageSetup paperSize="9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Q14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4.42578125" customWidth="1"/>
    <col min="3" max="4" width="11.42578125" customWidth="1"/>
    <col min="5" max="5" width="18.5703125" customWidth="1"/>
    <col min="6" max="6" width="14" customWidth="1"/>
    <col min="7" max="7" width="12.85546875" customWidth="1"/>
    <col min="8" max="14" width="11.42578125" customWidth="1"/>
    <col min="15" max="15" width="5" customWidth="1"/>
    <col min="16" max="16" width="7.28515625" customWidth="1"/>
    <col min="17" max="17" width="11.425781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0</v>
      </c>
      <c r="C3" s="2" t="s">
        <v>1</v>
      </c>
      <c r="D3" s="2" t="s">
        <v>2</v>
      </c>
      <c r="E3" s="1"/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4">
        <v>8</v>
      </c>
      <c r="C4" s="5" t="s">
        <v>3</v>
      </c>
      <c r="D4" s="6">
        <f t="shared" ref="D4:D18" si="0">ROUND(I41,0)</f>
        <v>60</v>
      </c>
      <c r="E4" s="1"/>
      <c r="F4" s="7">
        <v>540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4">
        <v>6</v>
      </c>
      <c r="C5" s="5" t="s">
        <v>4</v>
      </c>
      <c r="D5" s="6">
        <f t="shared" si="0"/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4">
        <v>8</v>
      </c>
      <c r="C6" s="5" t="s">
        <v>5</v>
      </c>
      <c r="D6" s="6">
        <f t="shared" si="0"/>
        <v>60</v>
      </c>
      <c r="E6" s="1"/>
      <c r="F6" s="40" t="s">
        <v>6</v>
      </c>
      <c r="G6" s="4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4">
        <v>4</v>
      </c>
      <c r="C7" s="5" t="s">
        <v>39</v>
      </c>
      <c r="D7" s="6">
        <f t="shared" si="0"/>
        <v>30</v>
      </c>
      <c r="E7" s="1"/>
      <c r="F7" s="42" t="s">
        <v>38</v>
      </c>
      <c r="G7" s="43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5</v>
      </c>
      <c r="B8" s="4">
        <v>8</v>
      </c>
      <c r="C8" s="5" t="s">
        <v>8</v>
      </c>
      <c r="D8" s="6">
        <f t="shared" si="0"/>
        <v>60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</v>
      </c>
      <c r="B9" s="4">
        <v>6</v>
      </c>
      <c r="C9" s="5" t="s">
        <v>37</v>
      </c>
      <c r="D9" s="6">
        <f t="shared" si="0"/>
        <v>45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7</v>
      </c>
      <c r="B10" s="4">
        <v>8</v>
      </c>
      <c r="C10" s="5" t="s">
        <v>10</v>
      </c>
      <c r="D10" s="6">
        <f t="shared" si="0"/>
        <v>60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4">
        <v>4</v>
      </c>
      <c r="C11" s="5" t="s">
        <v>11</v>
      </c>
      <c r="D11" s="6">
        <f t="shared" si="0"/>
        <v>30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9</v>
      </c>
      <c r="B12" s="4">
        <v>8</v>
      </c>
      <c r="C12" s="5" t="s">
        <v>12</v>
      </c>
      <c r="D12" s="6">
        <f t="shared" si="0"/>
        <v>60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4">
        <v>6</v>
      </c>
      <c r="C13" s="5" t="s">
        <v>13</v>
      </c>
      <c r="D13" s="6">
        <f t="shared" si="0"/>
        <v>45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11</v>
      </c>
      <c r="B14" s="4">
        <v>6</v>
      </c>
      <c r="C14" s="5" t="s">
        <v>41</v>
      </c>
      <c r="D14" s="6">
        <f t="shared" si="0"/>
        <v>45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12</v>
      </c>
      <c r="B15" s="4">
        <v>6</v>
      </c>
      <c r="C15" s="5" t="s">
        <v>43</v>
      </c>
      <c r="D15" s="6">
        <f t="shared" si="0"/>
        <v>45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13</v>
      </c>
      <c r="B16" s="4"/>
      <c r="C16" s="5"/>
      <c r="D16" s="6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14</v>
      </c>
      <c r="B17" s="4"/>
      <c r="C17" s="5"/>
      <c r="D17" s="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15</v>
      </c>
      <c r="B18" s="4"/>
      <c r="C18" s="5"/>
      <c r="D18" s="6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8">
        <f>SUM(D4:D18)</f>
        <v>540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customHeight="1" x14ac:dyDescent="0.25">
      <c r="B21" s="9">
        <v>1</v>
      </c>
      <c r="C21" s="10">
        <v>1</v>
      </c>
      <c r="D21" s="10">
        <v>1</v>
      </c>
      <c r="E21" s="10">
        <v>1</v>
      </c>
      <c r="F21" s="10">
        <v>3</v>
      </c>
      <c r="G21" s="10">
        <v>1</v>
      </c>
      <c r="H21" s="10">
        <v>2</v>
      </c>
      <c r="I21" s="10">
        <v>2</v>
      </c>
      <c r="J21" s="10">
        <v>3</v>
      </c>
      <c r="K21" s="10">
        <v>2</v>
      </c>
      <c r="L21" s="10">
        <v>2</v>
      </c>
      <c r="M21" s="10">
        <v>2</v>
      </c>
      <c r="N21" s="10">
        <v>2</v>
      </c>
      <c r="O21" s="44" t="s">
        <v>16</v>
      </c>
      <c r="P21" s="45"/>
      <c r="Q21" s="1"/>
    </row>
    <row r="22" spans="1:17" ht="15.75" customHeight="1" x14ac:dyDescent="0.25">
      <c r="A22" s="11" t="s">
        <v>1</v>
      </c>
      <c r="B22" s="12" t="s">
        <v>17</v>
      </c>
      <c r="C22" s="13" t="s">
        <v>18</v>
      </c>
      <c r="D22" s="13" t="s">
        <v>19</v>
      </c>
      <c r="E22" s="13" t="s">
        <v>20</v>
      </c>
      <c r="F22" s="14" t="s">
        <v>21</v>
      </c>
      <c r="G22" s="13" t="s">
        <v>22</v>
      </c>
      <c r="H22" s="11" t="s">
        <v>23</v>
      </c>
      <c r="I22" s="13" t="s">
        <v>24</v>
      </c>
      <c r="J22" s="13" t="s">
        <v>25</v>
      </c>
      <c r="K22" s="13" t="s">
        <v>26</v>
      </c>
      <c r="L22" s="14" t="s">
        <v>27</v>
      </c>
      <c r="M22" s="13" t="s">
        <v>28</v>
      </c>
      <c r="N22" s="13" t="s">
        <v>29</v>
      </c>
      <c r="O22" s="46"/>
      <c r="P22" s="47"/>
      <c r="Q22" s="1"/>
    </row>
    <row r="23" spans="1:17" ht="15.75" customHeight="1" x14ac:dyDescent="0.25">
      <c r="A23" s="15" t="str">
        <f t="shared" ref="A23:A37" si="1">C4</f>
        <v>IVETH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>
        <f t="shared" ref="O23:O37" si="2">D41</f>
        <v>0</v>
      </c>
      <c r="P23" s="17" t="s">
        <v>30</v>
      </c>
      <c r="Q23" s="1"/>
    </row>
    <row r="24" spans="1:17" ht="15.75" customHeight="1" x14ac:dyDescent="0.25">
      <c r="A24" s="15" t="str">
        <f t="shared" si="1"/>
        <v>EDMUNDO</v>
      </c>
      <c r="B24" s="11"/>
      <c r="C24" s="11"/>
      <c r="D24" s="11">
        <v>6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>
        <f t="shared" si="2"/>
        <v>36</v>
      </c>
      <c r="P24" s="17" t="s">
        <v>30</v>
      </c>
      <c r="Q24" s="1"/>
    </row>
    <row r="25" spans="1:17" ht="15.75" customHeight="1" x14ac:dyDescent="0.25">
      <c r="A25" s="15" t="str">
        <f t="shared" si="1"/>
        <v>MARGOT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>
        <f t="shared" si="2"/>
        <v>0</v>
      </c>
      <c r="P25" s="17" t="s">
        <v>30</v>
      </c>
      <c r="Q25" s="1"/>
    </row>
    <row r="26" spans="1:17" ht="15.75" customHeight="1" x14ac:dyDescent="0.25">
      <c r="A26" s="15" t="str">
        <f t="shared" si="1"/>
        <v>ERVING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>
        <f t="shared" si="2"/>
        <v>0</v>
      </c>
      <c r="P26" s="17" t="s">
        <v>30</v>
      </c>
      <c r="Q26" s="1"/>
    </row>
    <row r="27" spans="1:17" ht="15.75" customHeight="1" x14ac:dyDescent="0.25">
      <c r="A27" s="15" t="str">
        <f t="shared" si="1"/>
        <v>LUIS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>
        <f t="shared" si="2"/>
        <v>0</v>
      </c>
      <c r="P27" s="17" t="s">
        <v>30</v>
      </c>
      <c r="Q27" s="1"/>
    </row>
    <row r="28" spans="1:17" ht="15.75" customHeight="1" x14ac:dyDescent="0.25">
      <c r="A28" s="15" t="str">
        <f t="shared" si="1"/>
        <v>PORFIRIO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>
        <f t="shared" si="2"/>
        <v>0</v>
      </c>
      <c r="P28" s="17" t="s">
        <v>30</v>
      </c>
      <c r="Q28" s="1"/>
    </row>
    <row r="29" spans="1:17" ht="15.75" customHeight="1" x14ac:dyDescent="0.25">
      <c r="A29" s="15" t="str">
        <f t="shared" si="1"/>
        <v>JAVIER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1"/>
      <c r="N29" s="18"/>
      <c r="O29" s="16">
        <f t="shared" si="2"/>
        <v>0</v>
      </c>
      <c r="P29" s="17" t="s">
        <v>30</v>
      </c>
      <c r="Q29" s="1"/>
    </row>
    <row r="30" spans="1:17" ht="15.75" customHeight="1" x14ac:dyDescent="0.25">
      <c r="A30" s="15" t="str">
        <f t="shared" si="1"/>
        <v>RICARDO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1"/>
      <c r="N30" s="18"/>
      <c r="O30" s="16">
        <f t="shared" si="2"/>
        <v>0</v>
      </c>
      <c r="P30" s="17" t="s">
        <v>30</v>
      </c>
      <c r="Q30" s="1"/>
    </row>
    <row r="31" spans="1:17" ht="15.75" customHeight="1" x14ac:dyDescent="0.25">
      <c r="A31" s="15" t="str">
        <f t="shared" si="1"/>
        <v>NAYELI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1"/>
      <c r="N31" s="18"/>
      <c r="O31" s="16">
        <f t="shared" si="2"/>
        <v>0</v>
      </c>
      <c r="P31" s="17" t="s">
        <v>30</v>
      </c>
      <c r="Q31" s="1"/>
    </row>
    <row r="32" spans="1:17" ht="15.75" customHeight="1" x14ac:dyDescent="0.25">
      <c r="A32" s="15" t="str">
        <f t="shared" si="1"/>
        <v>ENRIQUE</v>
      </c>
      <c r="B32" s="19"/>
      <c r="C32" s="19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6">
        <f t="shared" si="2"/>
        <v>0</v>
      </c>
      <c r="P32" s="17" t="s">
        <v>30</v>
      </c>
      <c r="Q32" s="1"/>
    </row>
    <row r="33" spans="1:17" ht="15.75" customHeight="1" x14ac:dyDescent="0.25">
      <c r="A33" s="15" t="str">
        <f t="shared" si="1"/>
        <v xml:space="preserve">FRANCISCO 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6">
        <f t="shared" si="2"/>
        <v>0</v>
      </c>
      <c r="P33" s="17" t="s">
        <v>30</v>
      </c>
      <c r="Q33" s="1"/>
    </row>
    <row r="34" spans="1:17" ht="15.75" customHeight="1" x14ac:dyDescent="0.25">
      <c r="A34" s="15" t="str">
        <f t="shared" si="1"/>
        <v>PAULINA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>
        <f t="shared" si="2"/>
        <v>0</v>
      </c>
      <c r="P34" s="17" t="s">
        <v>30</v>
      </c>
      <c r="Q34" s="1"/>
    </row>
    <row r="35" spans="1:17" ht="15.75" customHeight="1" x14ac:dyDescent="0.25">
      <c r="A35" s="15">
        <f t="shared" si="1"/>
        <v>0</v>
      </c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6">
        <f t="shared" si="2"/>
        <v>0</v>
      </c>
      <c r="P35" s="17" t="s">
        <v>30</v>
      </c>
      <c r="Q35" s="1"/>
    </row>
    <row r="36" spans="1:17" ht="15.75" customHeight="1" x14ac:dyDescent="0.25">
      <c r="A36" s="15">
        <f t="shared" si="1"/>
        <v>0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6">
        <f t="shared" si="2"/>
        <v>0</v>
      </c>
      <c r="P36" s="17" t="s">
        <v>30</v>
      </c>
      <c r="Q36" s="1"/>
    </row>
    <row r="37" spans="1:17" ht="15.75" customHeight="1" x14ac:dyDescent="0.25">
      <c r="A37" s="15">
        <f t="shared" si="1"/>
        <v>0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6">
        <f t="shared" si="2"/>
        <v>0</v>
      </c>
      <c r="P37" s="17" t="s">
        <v>30</v>
      </c>
      <c r="Q37" s="1"/>
    </row>
    <row r="38" spans="1:1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1"/>
      <c r="M39" s="1"/>
      <c r="N39" s="1"/>
      <c r="O39" s="1"/>
      <c r="P39" s="1"/>
      <c r="Q39" s="1"/>
    </row>
    <row r="40" spans="1:17" ht="15.75" customHeight="1" x14ac:dyDescent="0.25">
      <c r="A40" s="23" t="s">
        <v>31</v>
      </c>
      <c r="B40" s="24" t="s">
        <v>32</v>
      </c>
      <c r="C40" s="24" t="s">
        <v>33</v>
      </c>
      <c r="D40" s="24" t="s">
        <v>34</v>
      </c>
      <c r="E40" s="24" t="s">
        <v>35</v>
      </c>
      <c r="F40" s="24" t="s">
        <v>1</v>
      </c>
      <c r="G40" s="24" t="s">
        <v>36</v>
      </c>
      <c r="H40" s="24"/>
      <c r="I40" s="24"/>
      <c r="J40" s="24"/>
      <c r="K40" s="22"/>
      <c r="L40" s="22"/>
      <c r="M40" s="22"/>
      <c r="N40" s="1"/>
      <c r="O40" s="1"/>
      <c r="P40" s="1"/>
      <c r="Q40" s="1"/>
    </row>
    <row r="41" spans="1:17" ht="15.75" customHeight="1" x14ac:dyDescent="0.25">
      <c r="A41" s="23">
        <v>1</v>
      </c>
      <c r="B41" s="25">
        <f t="shared" ref="B41:B55" si="3">B4</f>
        <v>8</v>
      </c>
      <c r="C41" s="25">
        <f t="shared" ref="C41:C55" si="4">B41*6</f>
        <v>48</v>
      </c>
      <c r="D41" s="25">
        <f>(B4*B23*B21)+(B4*C23*C21)+(B4*D23*D21)+(B4*E23*E21)+(B4*F23*F21)+(B4*G23*G21)+(B4*H23*H21)+(B4*I23*I21)+(B4*J23*J21)+(B4*K23*K21)+(B4*L23*L21)+(B4*M23*M21)+(B4*N23*N21)</f>
        <v>0</v>
      </c>
      <c r="E41" s="25">
        <f t="shared" ref="E41:E55" si="5">C41-D41</f>
        <v>48</v>
      </c>
      <c r="F41" s="23" t="str">
        <f t="shared" ref="F41:F55" si="6">C4</f>
        <v>IVETH</v>
      </c>
      <c r="G41" s="26">
        <f t="shared" ref="G41:G55" si="7">H41*E41</f>
        <v>60</v>
      </c>
      <c r="H41" s="27">
        <f>F4/SUM(J41:J55)</f>
        <v>1.25</v>
      </c>
      <c r="I41" s="28">
        <f t="shared" ref="I41:I55" si="8">IF(G41&lt;0,0,G41)</f>
        <v>60</v>
      </c>
      <c r="J41" s="24">
        <f t="shared" ref="J41:J55" si="9">IF(E41&lt;0,0,E41)</f>
        <v>48</v>
      </c>
      <c r="K41" s="22"/>
      <c r="L41" s="22"/>
      <c r="M41" s="22"/>
      <c r="N41" s="1"/>
      <c r="O41" s="1"/>
      <c r="P41" s="1"/>
      <c r="Q41" s="1"/>
    </row>
    <row r="42" spans="1:17" ht="15.75" customHeight="1" x14ac:dyDescent="0.25">
      <c r="A42" s="23">
        <v>2</v>
      </c>
      <c r="B42" s="25">
        <f t="shared" si="3"/>
        <v>6</v>
      </c>
      <c r="C42" s="25">
        <f t="shared" si="4"/>
        <v>36</v>
      </c>
      <c r="D42" s="25">
        <f>(B5*B24*B21)+(B5*C24*C21)+(B5*D24*D21)+(B5*E24*E21)+(B5*F21*F24)+(B5*G24*G21)+(B5*H24*H21)+(B5*I24*I21)+(B5*J24*J21)+(B5*K24*K21)+(B5*L24*L21)+(B5*M24*M21)+(N24*N21*B5)</f>
        <v>36</v>
      </c>
      <c r="E42" s="25">
        <f t="shared" si="5"/>
        <v>0</v>
      </c>
      <c r="F42" s="23" t="str">
        <f t="shared" si="6"/>
        <v>EDMUNDO</v>
      </c>
      <c r="G42" s="26">
        <f t="shared" si="7"/>
        <v>0</v>
      </c>
      <c r="H42" s="27">
        <f>F4/SUM(J41:J55)</f>
        <v>1.25</v>
      </c>
      <c r="I42" s="28">
        <f t="shared" si="8"/>
        <v>0</v>
      </c>
      <c r="J42" s="24">
        <f t="shared" si="9"/>
        <v>0</v>
      </c>
      <c r="K42" s="22"/>
      <c r="L42" s="22"/>
      <c r="M42" s="22"/>
      <c r="N42" s="1"/>
      <c r="O42" s="1"/>
      <c r="P42" s="1"/>
      <c r="Q42" s="1"/>
    </row>
    <row r="43" spans="1:17" ht="15.75" customHeight="1" x14ac:dyDescent="0.25">
      <c r="A43" s="23">
        <v>3</v>
      </c>
      <c r="B43" s="25">
        <f t="shared" si="3"/>
        <v>8</v>
      </c>
      <c r="C43" s="25">
        <f t="shared" si="4"/>
        <v>48</v>
      </c>
      <c r="D43" s="25">
        <f>(B6*B25*B21)+(B6*C25*C21)+(B6*D25*D21)+(B6*E25*E21)+(B6*F25*F21)+(B6*G25*G21)+(B6*H25*H21)+(B6*I25*I21)+(B6*J25*J21)+(B6*K25*K21)+(B6*L25*L21)+(B6*M25*M21)+(B6*N25*N21)</f>
        <v>0</v>
      </c>
      <c r="E43" s="25">
        <f t="shared" si="5"/>
        <v>48</v>
      </c>
      <c r="F43" s="23" t="str">
        <f t="shared" si="6"/>
        <v>MARGOT</v>
      </c>
      <c r="G43" s="26">
        <f t="shared" si="7"/>
        <v>60</v>
      </c>
      <c r="H43" s="27">
        <f>F4/SUM(J41:J55)</f>
        <v>1.25</v>
      </c>
      <c r="I43" s="28">
        <f t="shared" si="8"/>
        <v>60</v>
      </c>
      <c r="J43" s="24">
        <f t="shared" si="9"/>
        <v>48</v>
      </c>
      <c r="K43" s="22"/>
      <c r="L43" s="22"/>
      <c r="M43" s="22"/>
      <c r="N43" s="1"/>
      <c r="O43" s="1"/>
      <c r="P43" s="1"/>
      <c r="Q43" s="1"/>
    </row>
    <row r="44" spans="1:17" ht="15.75" customHeight="1" x14ac:dyDescent="0.25">
      <c r="A44" s="23">
        <v>4</v>
      </c>
      <c r="B44" s="25">
        <f t="shared" si="3"/>
        <v>4</v>
      </c>
      <c r="C44" s="25">
        <f t="shared" si="4"/>
        <v>24</v>
      </c>
      <c r="D44" s="25">
        <f>(B7*B26*B21)+(B7*C26*C21)+(B7*D26*D21)+(B7*E26*E21)+(B7*F26*F21)+(B7*G26*G21)+(B7*H26*H21)+(B7*I26*I21)+(B7*J26*J21)+(B7*K26*K21)+(B7*L26*L21)+(B7*M26*M21)+(B7*N26*N21)</f>
        <v>0</v>
      </c>
      <c r="E44" s="25">
        <f t="shared" si="5"/>
        <v>24</v>
      </c>
      <c r="F44" s="23" t="str">
        <f t="shared" si="6"/>
        <v>ERVING</v>
      </c>
      <c r="G44" s="26">
        <f t="shared" si="7"/>
        <v>30</v>
      </c>
      <c r="H44" s="27">
        <f>F4/SUM(J41:J55)</f>
        <v>1.25</v>
      </c>
      <c r="I44" s="28">
        <f t="shared" si="8"/>
        <v>30</v>
      </c>
      <c r="J44" s="24">
        <f t="shared" si="9"/>
        <v>24</v>
      </c>
      <c r="K44" s="22"/>
      <c r="L44" s="22"/>
      <c r="M44" s="22"/>
      <c r="N44" s="1"/>
      <c r="O44" s="1"/>
      <c r="P44" s="1"/>
      <c r="Q44" s="1"/>
    </row>
    <row r="45" spans="1:17" ht="15.75" customHeight="1" x14ac:dyDescent="0.25">
      <c r="A45" s="23">
        <v>5</v>
      </c>
      <c r="B45" s="25">
        <f t="shared" si="3"/>
        <v>8</v>
      </c>
      <c r="C45" s="25">
        <f t="shared" si="4"/>
        <v>48</v>
      </c>
      <c r="D45" s="25">
        <f>(B8*B27*B21)+(B8*C27*C21)+(B8*D27*D21)+(B8*E27*E21)+(B8*F27*F21)+(B8*G27*G21)+(B8*H27*H21)+(B8*I27*I21)+(B8*J27*J21)+(B8*K27*K21)+(B8*L27*L21)+(B8*M27*M21)+(N27*N21*B8)</f>
        <v>0</v>
      </c>
      <c r="E45" s="25">
        <f t="shared" si="5"/>
        <v>48</v>
      </c>
      <c r="F45" s="23" t="str">
        <f t="shared" si="6"/>
        <v>LUIS</v>
      </c>
      <c r="G45" s="26">
        <f t="shared" si="7"/>
        <v>60</v>
      </c>
      <c r="H45" s="27">
        <f>F4/SUM(J41:J55)</f>
        <v>1.25</v>
      </c>
      <c r="I45" s="28">
        <f t="shared" si="8"/>
        <v>60</v>
      </c>
      <c r="J45" s="24">
        <f t="shared" si="9"/>
        <v>48</v>
      </c>
      <c r="K45" s="22"/>
      <c r="L45" s="22"/>
      <c r="M45" s="22"/>
      <c r="N45" s="1"/>
      <c r="O45" s="1"/>
      <c r="P45" s="1"/>
      <c r="Q45" s="1"/>
    </row>
    <row r="46" spans="1:17" ht="15.75" customHeight="1" x14ac:dyDescent="0.25">
      <c r="A46" s="23">
        <v>6</v>
      </c>
      <c r="B46" s="25">
        <f t="shared" si="3"/>
        <v>6</v>
      </c>
      <c r="C46" s="25">
        <f t="shared" si="4"/>
        <v>36</v>
      </c>
      <c r="D46" s="25">
        <f>(B9*B28*B21)+(B9*C28*C21)+(B9*D28*D21)+(B9*E28*E21)+(B9*F28*F21)+(B9*G28*G21)+(B9*H28*H21)+(B9*I28*I21)+(B9*J28*J21)+(B9*K28*K21)+(B9*L28*L21)+(B9*M28*M21)+(B9*N28*N21)</f>
        <v>0</v>
      </c>
      <c r="E46" s="25">
        <f t="shared" si="5"/>
        <v>36</v>
      </c>
      <c r="F46" s="23" t="str">
        <f t="shared" si="6"/>
        <v>PORFIRIO</v>
      </c>
      <c r="G46" s="26">
        <f t="shared" si="7"/>
        <v>45</v>
      </c>
      <c r="H46" s="27">
        <f>F4/SUM(J41:J55)</f>
        <v>1.25</v>
      </c>
      <c r="I46" s="28">
        <f t="shared" si="8"/>
        <v>45</v>
      </c>
      <c r="J46" s="24">
        <f t="shared" si="9"/>
        <v>36</v>
      </c>
      <c r="K46" s="22"/>
      <c r="L46" s="22"/>
      <c r="M46" s="22"/>
      <c r="N46" s="1"/>
      <c r="O46" s="1"/>
      <c r="P46" s="1"/>
      <c r="Q46" s="1"/>
    </row>
    <row r="47" spans="1:17" ht="15.75" customHeight="1" x14ac:dyDescent="0.25">
      <c r="A47" s="23">
        <v>7</v>
      </c>
      <c r="B47" s="25">
        <f t="shared" si="3"/>
        <v>8</v>
      </c>
      <c r="C47" s="25">
        <f t="shared" si="4"/>
        <v>48</v>
      </c>
      <c r="D47" s="25">
        <f>(B10*B29*B21)+(B10*C29*C21)+(B10*D29*D21)+(B10*E29*E21)+(B10*F29*F21)+(B10*G29*G21)+(B10*H29*H21)+(B10*I29*I21)+(B10*J29*J21)+(B10*K29*K21)+(B10*L29*L21)+(B10*M29*M21)+(B10*N29*N21)</f>
        <v>0</v>
      </c>
      <c r="E47" s="25">
        <f t="shared" si="5"/>
        <v>48</v>
      </c>
      <c r="F47" s="23" t="str">
        <f t="shared" si="6"/>
        <v>JAVIER</v>
      </c>
      <c r="G47" s="26">
        <f t="shared" si="7"/>
        <v>60</v>
      </c>
      <c r="H47" s="27">
        <f>F4/SUM(J41:J55)</f>
        <v>1.25</v>
      </c>
      <c r="I47" s="28">
        <f t="shared" si="8"/>
        <v>60</v>
      </c>
      <c r="J47" s="24">
        <f t="shared" si="9"/>
        <v>48</v>
      </c>
      <c r="K47" s="22"/>
      <c r="L47" s="22"/>
      <c r="M47" s="22"/>
      <c r="N47" s="1"/>
      <c r="O47" s="1"/>
      <c r="P47" s="1"/>
      <c r="Q47" s="1"/>
    </row>
    <row r="48" spans="1:17" ht="15.75" customHeight="1" x14ac:dyDescent="0.25">
      <c r="A48" s="23">
        <v>8</v>
      </c>
      <c r="B48" s="25">
        <f t="shared" si="3"/>
        <v>4</v>
      </c>
      <c r="C48" s="25">
        <f t="shared" si="4"/>
        <v>24</v>
      </c>
      <c r="D48" s="25">
        <f>(B11*B30*B21)+(B11*C30*C21)+(B11*D30*D21)+(B11*E30*E21)+(B11*F21*F30)+(B11*G30*G21)+(B11*H30*H21)+(B11*I30*I21)+(B11*J30*J21)+(B11*K30*K21)+(B11*L30*L21)+(B11*M30*M21)+(N30*N21*B11)</f>
        <v>0</v>
      </c>
      <c r="E48" s="25">
        <f t="shared" si="5"/>
        <v>24</v>
      </c>
      <c r="F48" s="23" t="str">
        <f t="shared" si="6"/>
        <v>RICARDO</v>
      </c>
      <c r="G48" s="26">
        <f t="shared" si="7"/>
        <v>30</v>
      </c>
      <c r="H48" s="27">
        <f>F4/SUM(J41:J55)</f>
        <v>1.25</v>
      </c>
      <c r="I48" s="28">
        <f t="shared" si="8"/>
        <v>30</v>
      </c>
      <c r="J48" s="24">
        <f t="shared" si="9"/>
        <v>24</v>
      </c>
      <c r="K48" s="1"/>
      <c r="L48" s="1"/>
      <c r="M48" s="1"/>
      <c r="N48" s="1"/>
      <c r="O48" s="1"/>
      <c r="P48" s="1"/>
      <c r="Q48" s="1"/>
    </row>
    <row r="49" spans="1:17" ht="15.75" customHeight="1" x14ac:dyDescent="0.25">
      <c r="A49" s="23">
        <v>9</v>
      </c>
      <c r="B49" s="25">
        <f t="shared" si="3"/>
        <v>8</v>
      </c>
      <c r="C49" s="25">
        <f t="shared" si="4"/>
        <v>48</v>
      </c>
      <c r="D49" s="25">
        <f>(B12*B31*B21)+(B12*C31*C21)+(B12*D31*D21)+(B12*E31*E21)+(B12*F31*F21)+(B12*G31*G21)+(B12*H31*H21)+(B12*I31*I21)+(B12*J31*J21)+(B12*K31*K21)+(B12*L31*L21)+(B12*M31*M21)+(B12*N31*N21)</f>
        <v>0</v>
      </c>
      <c r="E49" s="25">
        <f t="shared" si="5"/>
        <v>48</v>
      </c>
      <c r="F49" s="23" t="str">
        <f t="shared" si="6"/>
        <v>NAYELI</v>
      </c>
      <c r="G49" s="26">
        <f t="shared" si="7"/>
        <v>60</v>
      </c>
      <c r="H49" s="27">
        <f>F4/SUM(J41:J55)</f>
        <v>1.25</v>
      </c>
      <c r="I49" s="28">
        <f t="shared" si="8"/>
        <v>60</v>
      </c>
      <c r="J49" s="24">
        <f t="shared" si="9"/>
        <v>48</v>
      </c>
      <c r="K49" s="1"/>
      <c r="L49" s="1"/>
      <c r="M49" s="1"/>
      <c r="N49" s="1"/>
      <c r="O49" s="1"/>
      <c r="P49" s="1"/>
      <c r="Q49" s="1"/>
    </row>
    <row r="50" spans="1:17" ht="15.75" customHeight="1" x14ac:dyDescent="0.25">
      <c r="A50" s="23">
        <v>10</v>
      </c>
      <c r="B50" s="25">
        <f t="shared" si="3"/>
        <v>6</v>
      </c>
      <c r="C50" s="25">
        <f t="shared" si="4"/>
        <v>36</v>
      </c>
      <c r="D50" s="25">
        <f>(B13*B32*B21)+(B13*C32*C21)+(B13*D32*D21)+(B13*E32*E21)+(B13*F32*F21)+(B13*G32*G21)+(B13*H32*H21)+(B13*I32*I21)+(B13*J32*J21)+(B13*K32*K21)+(B13*L32*L21)+(B13*M32*M21)+(B13*N32*N21)</f>
        <v>0</v>
      </c>
      <c r="E50" s="25">
        <f t="shared" si="5"/>
        <v>36</v>
      </c>
      <c r="F50" s="23" t="str">
        <f t="shared" si="6"/>
        <v>ENRIQUE</v>
      </c>
      <c r="G50" s="26">
        <f t="shared" si="7"/>
        <v>45</v>
      </c>
      <c r="H50" s="27">
        <f>F4/SUM(J41:J55)</f>
        <v>1.25</v>
      </c>
      <c r="I50" s="28">
        <f t="shared" si="8"/>
        <v>45</v>
      </c>
      <c r="J50" s="24">
        <f t="shared" si="9"/>
        <v>36</v>
      </c>
      <c r="K50" s="1"/>
      <c r="L50" s="1"/>
      <c r="M50" s="1"/>
      <c r="N50" s="1"/>
      <c r="O50" s="1"/>
      <c r="P50" s="1"/>
      <c r="Q50" s="1"/>
    </row>
    <row r="51" spans="1:17" ht="15.75" customHeight="1" x14ac:dyDescent="0.25">
      <c r="A51" s="23">
        <v>11</v>
      </c>
      <c r="B51" s="25">
        <f t="shared" si="3"/>
        <v>6</v>
      </c>
      <c r="C51" s="25">
        <f t="shared" si="4"/>
        <v>36</v>
      </c>
      <c r="D51" s="25">
        <f>(B14*B33*B21)+(B14*C33*C21)+(B14*D33*D21)+(B14*E33*E21)+(B14*F33*F21)+(B14*G33*G21)+(B14*H33*H21)+(B14*I33*I21)+(B14*J33*J21)+(B14*K33*K21)+(B14*L33*L21)+(B14*M33*M21)+(N33*N21*B14)</f>
        <v>0</v>
      </c>
      <c r="E51" s="25">
        <f t="shared" si="5"/>
        <v>36</v>
      </c>
      <c r="F51" s="23" t="str">
        <f t="shared" si="6"/>
        <v xml:space="preserve">FRANCISCO </v>
      </c>
      <c r="G51" s="26">
        <f t="shared" si="7"/>
        <v>45</v>
      </c>
      <c r="H51" s="27">
        <f>F4/SUM(J41:J55)</f>
        <v>1.25</v>
      </c>
      <c r="I51" s="28">
        <f t="shared" si="8"/>
        <v>45</v>
      </c>
      <c r="J51" s="24">
        <f t="shared" si="9"/>
        <v>36</v>
      </c>
      <c r="K51" s="1"/>
      <c r="L51" s="1"/>
      <c r="M51" s="1"/>
      <c r="N51" s="1"/>
      <c r="O51" s="1"/>
      <c r="P51" s="1"/>
      <c r="Q51" s="1"/>
    </row>
    <row r="52" spans="1:17" ht="15.75" customHeight="1" x14ac:dyDescent="0.25">
      <c r="A52" s="23">
        <v>12</v>
      </c>
      <c r="B52" s="25">
        <f t="shared" si="3"/>
        <v>6</v>
      </c>
      <c r="C52" s="25">
        <f t="shared" si="4"/>
        <v>36</v>
      </c>
      <c r="D52" s="25">
        <f>(B15*B34*B21)+(B15*C34*C21)+(B15*D34*D21)+(B15*E34*E21)+(B15*F34*F21)+(B15*G34*G21)+(B15*H34*H21)+(B15*I34*I21)+(B15*J34*J21)+(B15*K34*K21)+(B15*L34*L21)+(B15*M34*M21)+(B15*N34*N21)</f>
        <v>0</v>
      </c>
      <c r="E52" s="25">
        <f t="shared" si="5"/>
        <v>36</v>
      </c>
      <c r="F52" s="23" t="str">
        <f t="shared" si="6"/>
        <v>PAULINA</v>
      </c>
      <c r="G52" s="26">
        <f t="shared" si="7"/>
        <v>45</v>
      </c>
      <c r="H52" s="27">
        <f>F4/SUM(J41:J55)</f>
        <v>1.25</v>
      </c>
      <c r="I52" s="28">
        <f t="shared" si="8"/>
        <v>45</v>
      </c>
      <c r="J52" s="24">
        <f t="shared" si="9"/>
        <v>36</v>
      </c>
      <c r="K52" s="1"/>
      <c r="L52" s="1"/>
      <c r="M52" s="1"/>
      <c r="N52" s="1"/>
      <c r="O52" s="1"/>
      <c r="P52" s="1"/>
      <c r="Q52" s="1"/>
    </row>
    <row r="53" spans="1:17" ht="15.75" customHeight="1" x14ac:dyDescent="0.25">
      <c r="A53" s="23">
        <v>13</v>
      </c>
      <c r="B53" s="25">
        <f t="shared" si="3"/>
        <v>0</v>
      </c>
      <c r="C53" s="25">
        <f t="shared" si="4"/>
        <v>0</v>
      </c>
      <c r="D53" s="25">
        <f>(B16*B35*B21)+(B16*C35*C21)+(B16*D35*D21)+(B16*E35*E21)+(B16*F35*F21)+(B16*G35*G21)+(B16*H35*H21)+(B16*I35*I21)+(B16*J35*J21)+(B16*K35*K21)+(B16*L35*L21)+(B16*M35*M21)+(B16*N35*N21)</f>
        <v>0</v>
      </c>
      <c r="E53" s="25">
        <f t="shared" si="5"/>
        <v>0</v>
      </c>
      <c r="F53" s="23">
        <f t="shared" si="6"/>
        <v>0</v>
      </c>
      <c r="G53" s="26">
        <f t="shared" si="7"/>
        <v>0</v>
      </c>
      <c r="H53" s="27">
        <f>F4/SUM(J41:J55)</f>
        <v>1.25</v>
      </c>
      <c r="I53" s="28">
        <f t="shared" si="8"/>
        <v>0</v>
      </c>
      <c r="J53" s="24">
        <f t="shared" si="9"/>
        <v>0</v>
      </c>
      <c r="K53" s="1"/>
      <c r="L53" s="1"/>
      <c r="M53" s="1"/>
      <c r="N53" s="1"/>
      <c r="O53" s="1"/>
      <c r="P53" s="1"/>
      <c r="Q53" s="1"/>
    </row>
    <row r="54" spans="1:17" ht="15.75" customHeight="1" x14ac:dyDescent="0.25">
      <c r="A54" s="23">
        <v>14</v>
      </c>
      <c r="B54" s="25">
        <f t="shared" si="3"/>
        <v>0</v>
      </c>
      <c r="C54" s="25">
        <f t="shared" si="4"/>
        <v>0</v>
      </c>
      <c r="D54" s="25">
        <f>(B17*B36*B21)+(B17*C36*C21)+(B17*D36*D21)+(B17*E36*E21)+(B17*F21*F36)+(B17*G36*G21)+(B17*H36*H21)+(B17*I36*I21)+(B17*J36*J21)+(B17*K36*K21)+(B17*L36*L21)+(B17*M36*M21)+(N36*N21*B17)</f>
        <v>0</v>
      </c>
      <c r="E54" s="25">
        <f t="shared" si="5"/>
        <v>0</v>
      </c>
      <c r="F54" s="23">
        <f t="shared" si="6"/>
        <v>0</v>
      </c>
      <c r="G54" s="26">
        <f t="shared" si="7"/>
        <v>0</v>
      </c>
      <c r="H54" s="27">
        <f>F4/SUM(J41:J55)</f>
        <v>1.25</v>
      </c>
      <c r="I54" s="28">
        <f t="shared" si="8"/>
        <v>0</v>
      </c>
      <c r="J54" s="24">
        <f t="shared" si="9"/>
        <v>0</v>
      </c>
      <c r="K54" s="1"/>
      <c r="L54" s="1"/>
      <c r="M54" s="1"/>
      <c r="N54" s="1"/>
      <c r="O54" s="1"/>
      <c r="P54" s="1"/>
      <c r="Q54" s="1"/>
    </row>
    <row r="55" spans="1:17" ht="15.75" customHeight="1" x14ac:dyDescent="0.25">
      <c r="A55" s="23">
        <v>15</v>
      </c>
      <c r="B55" s="25">
        <f t="shared" si="3"/>
        <v>0</v>
      </c>
      <c r="C55" s="25">
        <f t="shared" si="4"/>
        <v>0</v>
      </c>
      <c r="D55" s="25">
        <f>(B18*B37*B21)+(B18*C37*C21)+(B18*D37*D21)+(B18*E37*E21)+(B18*F37*F21)+(B18*G37*G21)+(B18*H37*H21)+(B18*I37*I21)+(B18*J37*J21)+(B18*K37*K21)+(B18*L37*L21)+(B18*M37*M21)+(B18*N37*N21)</f>
        <v>0</v>
      </c>
      <c r="E55" s="25">
        <f t="shared" si="5"/>
        <v>0</v>
      </c>
      <c r="F55" s="23">
        <f t="shared" si="6"/>
        <v>0</v>
      </c>
      <c r="G55" s="26">
        <f t="shared" si="7"/>
        <v>0</v>
      </c>
      <c r="H55" s="27">
        <f>F4/SUM(J41:J55)</f>
        <v>1.25</v>
      </c>
      <c r="I55" s="28">
        <f t="shared" si="8"/>
        <v>0</v>
      </c>
      <c r="J55" s="24">
        <f t="shared" si="9"/>
        <v>0</v>
      </c>
      <c r="K55" s="1"/>
      <c r="L55" s="1"/>
      <c r="M55" s="1"/>
      <c r="N55" s="1"/>
      <c r="O55" s="1"/>
      <c r="P55" s="1"/>
      <c r="Q55" s="1"/>
    </row>
    <row r="56" spans="1:17" ht="15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</row>
    <row r="57" spans="1:17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"/>
      <c r="L57" s="1"/>
      <c r="M57" s="1"/>
      <c r="N57" s="1"/>
      <c r="O57" s="1"/>
      <c r="P57" s="1"/>
      <c r="Q57" s="1"/>
    </row>
    <row r="58" spans="1:17" ht="15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"/>
      <c r="L58" s="1"/>
      <c r="M58" s="1"/>
      <c r="N58" s="1"/>
      <c r="O58" s="1"/>
      <c r="P58" s="1"/>
      <c r="Q58" s="1"/>
    </row>
    <row r="59" spans="1:17" ht="15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"/>
      <c r="L59" s="1"/>
      <c r="M59" s="1"/>
      <c r="N59" s="1"/>
      <c r="O59" s="1"/>
      <c r="P59" s="1"/>
      <c r="Q59" s="1"/>
    </row>
    <row r="60" spans="1:17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"/>
      <c r="L60" s="1"/>
      <c r="M60" s="1"/>
      <c r="N60" s="1"/>
      <c r="O60" s="1"/>
      <c r="P60" s="1"/>
      <c r="Q60" s="1"/>
    </row>
    <row r="61" spans="1:17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"/>
      <c r="L61" s="1"/>
      <c r="M61" s="1"/>
      <c r="N61" s="1"/>
      <c r="O61" s="1"/>
      <c r="P61" s="1"/>
      <c r="Q61" s="1"/>
    </row>
    <row r="62" spans="1:17" ht="15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"/>
      <c r="L62" s="1"/>
      <c r="M62" s="1"/>
      <c r="N62" s="1"/>
      <c r="O62" s="1"/>
      <c r="P62" s="1"/>
      <c r="Q62" s="1"/>
    </row>
    <row r="63" spans="1:17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"/>
      <c r="L63" s="1"/>
      <c r="M63" s="1"/>
      <c r="N63" s="1"/>
      <c r="O63" s="1"/>
      <c r="P63" s="1"/>
      <c r="Q63" s="1"/>
    </row>
    <row r="64" spans="1:17" ht="15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"/>
      <c r="L64" s="1"/>
      <c r="M64" s="1"/>
      <c r="N64" s="1"/>
      <c r="O64" s="1"/>
      <c r="P64" s="1"/>
      <c r="Q64" s="1"/>
    </row>
    <row r="65" spans="1:17" ht="15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"/>
      <c r="L65" s="1"/>
      <c r="M65" s="1"/>
      <c r="N65" s="1"/>
      <c r="O65" s="1"/>
      <c r="P65" s="1"/>
      <c r="Q65" s="1"/>
    </row>
    <row r="66" spans="1:17" ht="15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"/>
      <c r="L66" s="1"/>
      <c r="M66" s="1"/>
      <c r="N66" s="1"/>
      <c r="O66" s="1"/>
      <c r="P66" s="1"/>
      <c r="Q66" s="1"/>
    </row>
    <row r="67" spans="1:17" ht="15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"/>
      <c r="L67" s="1"/>
      <c r="M67" s="1"/>
      <c r="N67" s="1"/>
      <c r="O67" s="1"/>
      <c r="P67" s="1"/>
      <c r="Q67" s="1"/>
    </row>
    <row r="68" spans="1:17" ht="15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"/>
      <c r="L68" s="1"/>
      <c r="M68" s="1"/>
      <c r="N68" s="1"/>
      <c r="O68" s="1"/>
      <c r="P68" s="1"/>
      <c r="Q68" s="1"/>
    </row>
    <row r="69" spans="1:17" ht="15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"/>
      <c r="L69" s="1"/>
      <c r="M69" s="1"/>
      <c r="N69" s="1"/>
      <c r="O69" s="1"/>
      <c r="P69" s="1"/>
      <c r="Q69" s="1"/>
    </row>
    <row r="70" spans="1:17" ht="15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"/>
      <c r="L70" s="1"/>
      <c r="M70" s="1"/>
      <c r="N70" s="1"/>
      <c r="O70" s="1"/>
      <c r="P70" s="1"/>
      <c r="Q70" s="1"/>
    </row>
    <row r="71" spans="1:17" ht="15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"/>
      <c r="L71" s="1"/>
      <c r="M71" s="1"/>
      <c r="N71" s="1"/>
      <c r="O71" s="1"/>
      <c r="P71" s="1"/>
      <c r="Q71" s="1"/>
    </row>
    <row r="72" spans="1:17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"/>
      <c r="L72" s="1"/>
      <c r="M72" s="1"/>
      <c r="N72" s="1"/>
      <c r="O72" s="1"/>
      <c r="P72" s="1"/>
      <c r="Q72" s="1"/>
    </row>
    <row r="73" spans="1:17" ht="15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"/>
      <c r="L73" s="1"/>
      <c r="M73" s="1"/>
      <c r="N73" s="1"/>
      <c r="O73" s="1"/>
      <c r="P73" s="1"/>
      <c r="Q73" s="1"/>
    </row>
    <row r="74" spans="1:17" ht="15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"/>
      <c r="L74" s="1"/>
      <c r="M74" s="1"/>
      <c r="N74" s="1"/>
      <c r="O74" s="1"/>
      <c r="P74" s="1"/>
      <c r="Q74" s="1"/>
    </row>
    <row r="75" spans="1:17" ht="15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"/>
      <c r="L75" s="1"/>
      <c r="M75" s="1"/>
      <c r="N75" s="1"/>
      <c r="O75" s="1"/>
      <c r="P75" s="1"/>
      <c r="Q75" s="1"/>
    </row>
    <row r="76" spans="1:17" ht="15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</row>
    <row r="77" spans="1:17" ht="15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"/>
      <c r="L77" s="1"/>
      <c r="M77" s="1"/>
      <c r="N77" s="1"/>
      <c r="O77" s="1"/>
      <c r="P77" s="1"/>
      <c r="Q77" s="1"/>
    </row>
    <row r="78" spans="1:17" ht="15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"/>
      <c r="L78" s="1"/>
      <c r="M78" s="1"/>
      <c r="N78" s="1"/>
      <c r="O78" s="1"/>
      <c r="P78" s="1"/>
      <c r="Q78" s="1"/>
    </row>
    <row r="79" spans="1:17" ht="15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"/>
      <c r="L79" s="1"/>
      <c r="M79" s="1"/>
      <c r="N79" s="1"/>
      <c r="O79" s="1"/>
      <c r="P79" s="1"/>
      <c r="Q79" s="1"/>
    </row>
    <row r="80" spans="1:17" ht="15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"/>
      <c r="L80" s="1"/>
      <c r="M80" s="1"/>
      <c r="N80" s="1"/>
      <c r="O80" s="1"/>
      <c r="P80" s="1"/>
      <c r="Q80" s="1"/>
    </row>
    <row r="81" spans="1:17" ht="15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"/>
      <c r="L81" s="1"/>
      <c r="M81" s="1"/>
      <c r="N81" s="1"/>
      <c r="O81" s="1"/>
      <c r="P81" s="1"/>
      <c r="Q81" s="1"/>
    </row>
    <row r="82" spans="1:17" ht="15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"/>
      <c r="L82" s="1"/>
      <c r="M82" s="1"/>
      <c r="N82" s="1"/>
      <c r="O82" s="1"/>
      <c r="P82" s="1"/>
      <c r="Q82" s="1"/>
    </row>
    <row r="83" spans="1:17" ht="15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"/>
      <c r="L83" s="1"/>
      <c r="M83" s="1"/>
      <c r="N83" s="1"/>
      <c r="O83" s="1"/>
      <c r="P83" s="1"/>
      <c r="Q83" s="1"/>
    </row>
    <row r="84" spans="1:17" ht="15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</row>
    <row r="85" spans="1:17" ht="15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"/>
      <c r="L85" s="1"/>
      <c r="M85" s="1"/>
      <c r="N85" s="1"/>
      <c r="O85" s="1"/>
      <c r="P85" s="1"/>
      <c r="Q85" s="1"/>
    </row>
    <row r="86" spans="1:17" ht="15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"/>
      <c r="L86" s="1"/>
      <c r="M86" s="1"/>
      <c r="N86" s="1"/>
      <c r="O86" s="1"/>
      <c r="P86" s="1"/>
      <c r="Q86" s="1"/>
    </row>
    <row r="87" spans="1:17" ht="15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  <c r="N87" s="1"/>
      <c r="O87" s="1"/>
      <c r="P87" s="1"/>
      <c r="Q87" s="1"/>
    </row>
    <row r="88" spans="1:17" ht="15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</row>
    <row r="89" spans="1:17" ht="15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  <c r="N89" s="1"/>
      <c r="O89" s="1"/>
      <c r="P89" s="1"/>
      <c r="Q89" s="1"/>
    </row>
    <row r="90" spans="1:17" ht="15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  <c r="N90" s="1"/>
      <c r="O90" s="1"/>
      <c r="P90" s="1"/>
      <c r="Q90" s="1"/>
    </row>
    <row r="91" spans="1:17" ht="15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  <c r="N91" s="1"/>
      <c r="O91" s="1"/>
      <c r="P91" s="1"/>
      <c r="Q91" s="1"/>
    </row>
    <row r="92" spans="1:17" ht="15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  <c r="N92" s="1"/>
      <c r="O92" s="1"/>
      <c r="P92" s="1"/>
      <c r="Q92" s="1"/>
    </row>
    <row r="93" spans="1:17" ht="15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"/>
      <c r="L93" s="1"/>
      <c r="M93" s="1"/>
      <c r="N93" s="1"/>
      <c r="O93" s="1"/>
      <c r="P93" s="1"/>
      <c r="Q93" s="1"/>
    </row>
    <row r="94" spans="1:17" ht="15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"/>
      <c r="L94" s="1"/>
      <c r="M94" s="1"/>
      <c r="N94" s="1"/>
      <c r="O94" s="1"/>
      <c r="P94" s="1"/>
      <c r="Q94" s="1"/>
    </row>
    <row r="95" spans="1:17" ht="15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"/>
      <c r="L95" s="1"/>
      <c r="M95" s="1"/>
      <c r="N95" s="1"/>
      <c r="O95" s="1"/>
      <c r="P95" s="1"/>
      <c r="Q95" s="1"/>
    </row>
    <row r="96" spans="1:17" ht="15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"/>
      <c r="L96" s="1"/>
      <c r="M96" s="1"/>
      <c r="N96" s="1"/>
      <c r="O96" s="1"/>
      <c r="P96" s="1"/>
      <c r="Q96" s="1"/>
    </row>
    <row r="97" spans="1:17" ht="15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</row>
    <row r="98" spans="1:17" ht="15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"/>
      <c r="L98" s="1"/>
      <c r="M98" s="1"/>
      <c r="N98" s="1"/>
      <c r="O98" s="1"/>
      <c r="P98" s="1"/>
      <c r="Q98" s="1"/>
    </row>
    <row r="99" spans="1:17" ht="15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"/>
      <c r="L99" s="1"/>
      <c r="M99" s="1"/>
      <c r="N99" s="1"/>
      <c r="O99" s="1"/>
      <c r="P99" s="1"/>
      <c r="Q99" s="1"/>
    </row>
    <row r="100" spans="1:17" ht="15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"/>
      <c r="L100" s="1"/>
      <c r="M100" s="1"/>
      <c r="N100" s="1"/>
      <c r="O100" s="1"/>
      <c r="P100" s="1"/>
      <c r="Q100" s="1"/>
    </row>
    <row r="101" spans="1:17" ht="15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"/>
      <c r="L101" s="1"/>
      <c r="M101" s="1"/>
      <c r="N101" s="1"/>
      <c r="O101" s="1"/>
      <c r="P101" s="1"/>
      <c r="Q101" s="1"/>
    </row>
    <row r="102" spans="1:17" ht="15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"/>
      <c r="L102" s="1"/>
      <c r="M102" s="1"/>
      <c r="N102" s="1"/>
      <c r="O102" s="1"/>
      <c r="P102" s="1"/>
      <c r="Q102" s="1"/>
    </row>
    <row r="103" spans="1:17" ht="15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"/>
      <c r="L103" s="1"/>
      <c r="M103" s="1"/>
      <c r="N103" s="1"/>
      <c r="O103" s="1"/>
      <c r="P103" s="1"/>
      <c r="Q103" s="1"/>
    </row>
    <row r="104" spans="1:17" ht="15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"/>
      <c r="L104" s="1"/>
      <c r="M104" s="1"/>
      <c r="N104" s="1"/>
      <c r="O104" s="1"/>
      <c r="P104" s="1"/>
      <c r="Q104" s="1"/>
    </row>
    <row r="105" spans="1:17" ht="15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</row>
    <row r="106" spans="1:17" ht="15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"/>
      <c r="L106" s="1"/>
      <c r="M106" s="1"/>
      <c r="N106" s="1"/>
      <c r="O106" s="1"/>
      <c r="P106" s="1"/>
      <c r="Q106" s="1"/>
    </row>
    <row r="107" spans="1:17" ht="15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"/>
      <c r="L107" s="1"/>
      <c r="M107" s="1"/>
      <c r="N107" s="1"/>
      <c r="O107" s="1"/>
      <c r="P107" s="1"/>
      <c r="Q107" s="1"/>
    </row>
    <row r="108" spans="1:17" ht="15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"/>
      <c r="L108" s="1"/>
      <c r="M108" s="1"/>
      <c r="N108" s="1"/>
      <c r="O108" s="1"/>
      <c r="P108" s="1"/>
      <c r="Q108" s="1"/>
    </row>
    <row r="109" spans="1:17" ht="15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"/>
      <c r="L109" s="1"/>
      <c r="M109" s="1"/>
      <c r="N109" s="1"/>
      <c r="O109" s="1"/>
      <c r="P109" s="1"/>
      <c r="Q109" s="1"/>
    </row>
    <row r="110" spans="1:17" ht="15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"/>
      <c r="L110" s="1"/>
      <c r="M110" s="1"/>
      <c r="N110" s="1"/>
      <c r="O110" s="1"/>
      <c r="P110" s="1"/>
      <c r="Q110" s="1"/>
    </row>
    <row r="111" spans="1:17" ht="15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"/>
      <c r="L111" s="1"/>
      <c r="M111" s="1"/>
      <c r="N111" s="1"/>
      <c r="O111" s="1"/>
      <c r="P111" s="1"/>
      <c r="Q111" s="1"/>
    </row>
    <row r="112" spans="1:17" ht="15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1"/>
      <c r="L112" s="1"/>
      <c r="M112" s="1"/>
      <c r="N112" s="1"/>
      <c r="O112" s="1"/>
      <c r="P112" s="1"/>
      <c r="Q112" s="1"/>
    </row>
    <row r="113" spans="1:17" ht="15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</row>
    <row r="114" spans="1:17" ht="15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1"/>
      <c r="L114" s="1"/>
      <c r="M114" s="1"/>
      <c r="N114" s="1"/>
      <c r="O114" s="1"/>
      <c r="P114" s="1"/>
      <c r="Q114" s="1"/>
    </row>
    <row r="115" spans="1:17" ht="15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1"/>
      <c r="L115" s="1"/>
      <c r="M115" s="1"/>
      <c r="N115" s="1"/>
      <c r="O115" s="1"/>
      <c r="P115" s="1"/>
      <c r="Q115" s="1"/>
    </row>
    <row r="116" spans="1:17" ht="15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1"/>
      <c r="L116" s="1"/>
      <c r="M116" s="1"/>
      <c r="N116" s="1"/>
      <c r="O116" s="1"/>
      <c r="P116" s="1"/>
      <c r="Q116" s="1"/>
    </row>
    <row r="117" spans="1:17" ht="15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1"/>
      <c r="L117" s="1"/>
      <c r="M117" s="1"/>
      <c r="N117" s="1"/>
      <c r="O117" s="1"/>
      <c r="P117" s="1"/>
      <c r="Q117" s="1"/>
    </row>
    <row r="118" spans="1:17" ht="15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1"/>
      <c r="L118" s="1"/>
      <c r="M118" s="1"/>
      <c r="N118" s="1"/>
      <c r="O118" s="1"/>
      <c r="P118" s="1"/>
      <c r="Q118" s="1"/>
    </row>
    <row r="119" spans="1:17" ht="15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1"/>
      <c r="L119" s="1"/>
      <c r="M119" s="1"/>
      <c r="N119" s="1"/>
      <c r="O119" s="1"/>
      <c r="P119" s="1"/>
      <c r="Q119" s="1"/>
    </row>
    <row r="120" spans="1:17" ht="15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1"/>
      <c r="L120" s="1"/>
      <c r="M120" s="1"/>
      <c r="N120" s="1"/>
      <c r="O120" s="1"/>
      <c r="P120" s="1"/>
      <c r="Q120" s="1"/>
    </row>
    <row r="121" spans="1:17" ht="15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1"/>
      <c r="L121" s="1"/>
      <c r="M121" s="1"/>
      <c r="N121" s="1"/>
      <c r="O121" s="1"/>
      <c r="P121" s="1"/>
      <c r="Q121" s="1"/>
    </row>
    <row r="122" spans="1:17" ht="15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1"/>
      <c r="L122" s="1"/>
      <c r="M122" s="1"/>
      <c r="N122" s="1"/>
      <c r="O122" s="1"/>
      <c r="P122" s="1"/>
      <c r="Q122" s="1"/>
    </row>
    <row r="123" spans="1:17" ht="15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1"/>
      <c r="L123" s="1"/>
      <c r="M123" s="1"/>
      <c r="N123" s="1"/>
      <c r="O123" s="1"/>
      <c r="P123" s="1"/>
      <c r="Q123" s="1"/>
    </row>
    <row r="124" spans="1:17" ht="15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1"/>
      <c r="L124" s="1"/>
      <c r="M124" s="1"/>
      <c r="N124" s="1"/>
      <c r="O124" s="1"/>
      <c r="P124" s="1"/>
      <c r="Q124" s="1"/>
    </row>
    <row r="125" spans="1:17" ht="15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1"/>
      <c r="L125" s="1"/>
      <c r="M125" s="1"/>
      <c r="N125" s="1"/>
      <c r="O125" s="1"/>
      <c r="P125" s="1"/>
      <c r="Q125" s="1"/>
    </row>
    <row r="126" spans="1:17" ht="15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1"/>
      <c r="L126" s="1"/>
      <c r="M126" s="1"/>
      <c r="N126" s="1"/>
      <c r="O126" s="1"/>
      <c r="P126" s="1"/>
      <c r="Q126" s="1"/>
    </row>
    <row r="127" spans="1:17" ht="15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1"/>
      <c r="L127" s="1"/>
      <c r="M127" s="1"/>
      <c r="N127" s="1"/>
      <c r="O127" s="1"/>
      <c r="P127" s="1"/>
      <c r="Q127" s="1"/>
    </row>
    <row r="128" spans="1:17" ht="15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1"/>
      <c r="L128" s="1"/>
      <c r="M128" s="1"/>
      <c r="N128" s="1"/>
      <c r="O128" s="1"/>
      <c r="P128" s="1"/>
      <c r="Q128" s="1"/>
    </row>
    <row r="129" spans="1:17" ht="15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1"/>
      <c r="L129" s="1"/>
      <c r="M129" s="1"/>
      <c r="N129" s="1"/>
      <c r="O129" s="1"/>
      <c r="P129" s="1"/>
      <c r="Q129" s="1"/>
    </row>
    <row r="130" spans="1:17" ht="15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1"/>
      <c r="L130" s="1"/>
      <c r="M130" s="1"/>
      <c r="N130" s="1"/>
      <c r="O130" s="1"/>
      <c r="P130" s="1"/>
      <c r="Q130" s="1"/>
    </row>
    <row r="131" spans="1:17" ht="15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1"/>
      <c r="L131" s="1"/>
      <c r="M131" s="1"/>
      <c r="N131" s="1"/>
      <c r="O131" s="1"/>
      <c r="P131" s="1"/>
      <c r="Q131" s="1"/>
    </row>
    <row r="132" spans="1:17" ht="15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1"/>
      <c r="L132" s="1"/>
      <c r="M132" s="1"/>
      <c r="N132" s="1"/>
      <c r="O132" s="1"/>
      <c r="P132" s="1"/>
      <c r="Q132" s="1"/>
    </row>
    <row r="133" spans="1:17" ht="15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1"/>
      <c r="L133" s="1"/>
      <c r="M133" s="1"/>
      <c r="N133" s="1"/>
      <c r="O133" s="1"/>
      <c r="P133" s="1"/>
      <c r="Q133" s="1"/>
    </row>
    <row r="134" spans="1:17" ht="15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1"/>
      <c r="L134" s="1"/>
      <c r="M134" s="1"/>
      <c r="N134" s="1"/>
      <c r="O134" s="1"/>
      <c r="P134" s="1"/>
      <c r="Q134" s="1"/>
    </row>
    <row r="135" spans="1:17" ht="15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1"/>
      <c r="L135" s="1"/>
      <c r="M135" s="1"/>
      <c r="N135" s="1"/>
      <c r="O135" s="1"/>
      <c r="P135" s="1"/>
      <c r="Q135" s="1"/>
    </row>
    <row r="136" spans="1:17" ht="15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1"/>
      <c r="L136" s="1"/>
      <c r="M136" s="1"/>
      <c r="N136" s="1"/>
      <c r="O136" s="1"/>
      <c r="P136" s="1"/>
      <c r="Q136" s="1"/>
    </row>
    <row r="137" spans="1:17" ht="15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1"/>
      <c r="L137" s="1"/>
      <c r="M137" s="1"/>
      <c r="N137" s="1"/>
      <c r="O137" s="1"/>
      <c r="P137" s="1"/>
      <c r="Q137" s="1"/>
    </row>
    <row r="138" spans="1:17" ht="15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1"/>
      <c r="L138" s="1"/>
      <c r="M138" s="1"/>
      <c r="N138" s="1"/>
      <c r="O138" s="1"/>
      <c r="P138" s="1"/>
      <c r="Q138" s="1"/>
    </row>
    <row r="139" spans="1:17" ht="15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1"/>
      <c r="L139" s="1"/>
      <c r="M139" s="1"/>
      <c r="N139" s="1"/>
      <c r="O139" s="1"/>
      <c r="P139" s="1"/>
      <c r="Q139" s="1"/>
    </row>
    <row r="140" spans="1:17" ht="15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1"/>
      <c r="L140" s="1"/>
      <c r="M140" s="1"/>
      <c r="N140" s="1"/>
      <c r="O140" s="1"/>
      <c r="P140" s="1"/>
      <c r="Q140" s="1"/>
    </row>
    <row r="141" spans="1:17" ht="15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1"/>
      <c r="L141" s="1"/>
      <c r="M141" s="1"/>
      <c r="N141" s="1"/>
      <c r="O141" s="1"/>
      <c r="P141" s="1"/>
      <c r="Q141" s="1"/>
    </row>
    <row r="142" spans="1:17" ht="15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1"/>
      <c r="L142" s="1"/>
      <c r="M142" s="1"/>
      <c r="N142" s="1"/>
      <c r="O142" s="1"/>
      <c r="P142" s="1"/>
      <c r="Q142" s="1"/>
    </row>
    <row r="143" spans="1:17" ht="15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1"/>
      <c r="L143" s="1"/>
      <c r="M143" s="1"/>
      <c r="N143" s="1"/>
      <c r="O143" s="1"/>
      <c r="P143" s="1"/>
      <c r="Q143" s="1"/>
    </row>
    <row r="144" spans="1:17" ht="15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1"/>
      <c r="L144" s="1"/>
      <c r="M144" s="1"/>
      <c r="N144" s="1"/>
      <c r="O144" s="1"/>
      <c r="P144" s="1"/>
      <c r="Q144" s="1"/>
    </row>
    <row r="145" spans="1:17" ht="15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1"/>
      <c r="L145" s="1"/>
      <c r="M145" s="1"/>
      <c r="N145" s="1"/>
      <c r="O145" s="1"/>
      <c r="P145" s="1"/>
      <c r="Q145" s="1"/>
    </row>
    <row r="146" spans="1:17" ht="15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1"/>
      <c r="L146" s="1"/>
      <c r="M146" s="1"/>
      <c r="N146" s="1"/>
      <c r="O146" s="1"/>
      <c r="P146" s="1"/>
      <c r="Q146" s="1"/>
    </row>
    <row r="147" spans="1:17" ht="15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1"/>
      <c r="L147" s="1"/>
      <c r="M147" s="1"/>
      <c r="N147" s="1"/>
      <c r="O147" s="1"/>
      <c r="P147" s="1"/>
      <c r="Q147" s="1"/>
    </row>
    <row r="148" spans="1:17" ht="15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1"/>
      <c r="L148" s="1"/>
      <c r="M148" s="1"/>
      <c r="N148" s="1"/>
      <c r="O148" s="1"/>
      <c r="P148" s="1"/>
      <c r="Q148" s="1"/>
    </row>
    <row r="149" spans="1:17" ht="15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1"/>
      <c r="L149" s="1"/>
      <c r="M149" s="1"/>
      <c r="N149" s="1"/>
      <c r="O149" s="1"/>
      <c r="P149" s="1"/>
      <c r="Q149" s="1"/>
    </row>
  </sheetData>
  <mergeCells count="3">
    <mergeCell ref="F6:G6"/>
    <mergeCell ref="F7:G7"/>
    <mergeCell ref="O21:P22"/>
  </mergeCells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52</vt:i4>
      </vt:variant>
    </vt:vector>
  </HeadingPairs>
  <TitlesOfParts>
    <vt:vector size="52" baseType="lpstr">
      <vt:lpstr>Semana 1</vt:lpstr>
      <vt:lpstr>Semana 2</vt:lpstr>
      <vt:lpstr>Semana 3</vt:lpstr>
      <vt:lpstr>Semana 4</vt:lpstr>
      <vt:lpstr>Semana 5</vt:lpstr>
      <vt:lpstr>Semana 6</vt:lpstr>
      <vt:lpstr>Semana 7</vt:lpstr>
      <vt:lpstr>Semana 8</vt:lpstr>
      <vt:lpstr>Semana 9</vt:lpstr>
      <vt:lpstr>Semana 10</vt:lpstr>
      <vt:lpstr>Semana 11</vt:lpstr>
      <vt:lpstr>Semana 12</vt:lpstr>
      <vt:lpstr>Semana 13</vt:lpstr>
      <vt:lpstr>Semana 14</vt:lpstr>
      <vt:lpstr>Semana 15</vt:lpstr>
      <vt:lpstr>Semana 16</vt:lpstr>
      <vt:lpstr>Semana 17</vt:lpstr>
      <vt:lpstr>Semana 18</vt:lpstr>
      <vt:lpstr>Semana 19</vt:lpstr>
      <vt:lpstr>Semana 20</vt:lpstr>
      <vt:lpstr>Semana 21</vt:lpstr>
      <vt:lpstr>Semana 22</vt:lpstr>
      <vt:lpstr>Semana 23</vt:lpstr>
      <vt:lpstr>Semana 24</vt:lpstr>
      <vt:lpstr>Semana 25</vt:lpstr>
      <vt:lpstr>Semana 26</vt:lpstr>
      <vt:lpstr>Semana 27</vt:lpstr>
      <vt:lpstr>Semana 28</vt:lpstr>
      <vt:lpstr>Semana 29</vt:lpstr>
      <vt:lpstr>Semana 30</vt:lpstr>
      <vt:lpstr>Semana 31</vt:lpstr>
      <vt:lpstr>Semana 32</vt:lpstr>
      <vt:lpstr>Semana 33</vt:lpstr>
      <vt:lpstr>Semana 34</vt:lpstr>
      <vt:lpstr>Semana 35</vt:lpstr>
      <vt:lpstr>Semana 36</vt:lpstr>
      <vt:lpstr>Semana 37</vt:lpstr>
      <vt:lpstr>Semana 38</vt:lpstr>
      <vt:lpstr>Semana 39</vt:lpstr>
      <vt:lpstr>Semana 40</vt:lpstr>
      <vt:lpstr>Semana 41</vt:lpstr>
      <vt:lpstr>Semana 42</vt:lpstr>
      <vt:lpstr>Semana 43</vt:lpstr>
      <vt:lpstr>Semana 44</vt:lpstr>
      <vt:lpstr>Semana 45</vt:lpstr>
      <vt:lpstr>Semana 46</vt:lpstr>
      <vt:lpstr>Semana 47</vt:lpstr>
      <vt:lpstr>Semana 48</vt:lpstr>
      <vt:lpstr>Semana 49</vt:lpstr>
      <vt:lpstr>Semana 50</vt:lpstr>
      <vt:lpstr>Semana 51</vt:lpstr>
      <vt:lpstr>Semana 52</vt:lpstr>
    </vt:vector>
  </TitlesOfParts>
  <Company>Cafe Sirena S de R.L de C.V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Tienda</dc:creator>
  <cp:lastModifiedBy>Starbucks Tuxtla Belizario Domínguez</cp:lastModifiedBy>
  <cp:lastPrinted>2024-10-15T14:52:01Z</cp:lastPrinted>
  <dcterms:created xsi:type="dcterms:W3CDTF">2016-03-22T07:55:07Z</dcterms:created>
  <dcterms:modified xsi:type="dcterms:W3CDTF">2026-01-20T05:12:05Z</dcterms:modified>
</cp:coreProperties>
</file>